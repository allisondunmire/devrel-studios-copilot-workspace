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microsoft.sharepoint.com/teams/MicrosoftDeveloperStudiosChannel9/Shared Documents/Events/20260900-GitHubCopilotDay/"/>
    </mc:Choice>
  </mc:AlternateContent>
  <xr:revisionPtr revIDLastSave="0" documentId="8_{45439EA0-006C-4A75-86FA-DF543BDD9AAC}" xr6:coauthVersionLast="47" xr6:coauthVersionMax="47" xr10:uidLastSave="{00000000-0000-0000-0000-000000000000}"/>
  <bookViews>
    <workbookView xWindow="-120" yWindow="-120" windowWidth="51840" windowHeight="21120" firstSheet="1" activeTab="1" xr2:uid="{683D7C27-C675-403A-8556-60FE1449E2D4}"/>
  </bookViews>
  <sheets>
    <sheet name="Live Show" sheetId="1" state="hidden" r:id="rId1"/>
    <sheet name="Live Show-DRAFT" sheetId="5" r:id="rId2"/>
    <sheet name="BOC Livestreaming" sheetId="7" r:id="rId3"/>
    <sheet name="anna scratch" sheetId="6" r:id="rId4"/>
    <sheet name="Video Details" sheetId="2" r:id="rId5"/>
    <sheet name="Scheduling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7" l="1"/>
  <c r="B6" i="7"/>
  <c r="B7" i="7"/>
  <c r="B8" i="7"/>
  <c r="B9" i="7"/>
  <c r="B10" i="7"/>
  <c r="B11" i="7"/>
  <c r="B12" i="7"/>
  <c r="B13" i="7"/>
  <c r="A23" i="5"/>
  <c r="C23" i="5"/>
  <c r="C22" i="5"/>
  <c r="C21" i="5"/>
  <c r="A20" i="5"/>
  <c r="C20" i="5" s="1"/>
  <c r="A19" i="5"/>
  <c r="C19" i="5" s="1"/>
  <c r="A18" i="5"/>
  <c r="C18" i="5" s="1"/>
  <c r="A17" i="5"/>
  <c r="C17" i="5" s="1"/>
  <c r="A16" i="5"/>
  <c r="C16" i="5" s="1"/>
  <c r="A15" i="5"/>
  <c r="C15" i="5" s="1"/>
  <c r="A14" i="5"/>
  <c r="C14" i="5" s="1"/>
  <c r="A13" i="5"/>
  <c r="C13" i="5" s="1"/>
  <c r="A12" i="5"/>
  <c r="C12" i="5" s="1"/>
  <c r="A11" i="5"/>
  <c r="C11" i="5" s="1"/>
  <c r="A10" i="5"/>
  <c r="C10" i="5" s="1"/>
  <c r="A9" i="5"/>
  <c r="C9" i="5" s="1"/>
  <c r="A8" i="5"/>
  <c r="C8" i="5" s="1"/>
  <c r="A7" i="5"/>
  <c r="C7" i="5" s="1"/>
  <c r="A6" i="5"/>
  <c r="C6" i="5" s="1"/>
  <c r="A5" i="5"/>
  <c r="C5" i="5" s="1"/>
  <c r="C4" i="5"/>
  <c r="C5" i="1"/>
  <c r="C6" i="1"/>
  <c r="C4" i="1"/>
  <c r="C7" i="1"/>
  <c r="C8" i="1"/>
  <c r="C9" i="1"/>
  <c r="C10" i="1"/>
  <c r="C11" i="1"/>
  <c r="C12" i="1"/>
  <c r="C13" i="1"/>
  <c r="C15" i="1"/>
  <c r="C16" i="1"/>
  <c r="C17" i="1"/>
  <c r="C18" i="1"/>
  <c r="C19" i="1"/>
  <c r="C20" i="1"/>
  <c r="C21" i="1"/>
  <c r="C22" i="1"/>
  <c r="C23" i="1"/>
  <c r="K1" i="5" l="1"/>
  <c r="K1" i="1"/>
</calcChain>
</file>

<file path=xl/sharedStrings.xml><?xml version="1.0" encoding="utf-8"?>
<sst xmlns="http://schemas.openxmlformats.org/spreadsheetml/2006/main" count="312" uniqueCount="166">
  <si>
    <t>GitHub Copilot Day</t>
  </si>
  <si>
    <t>9/1 or 9/2/2026</t>
  </si>
  <si>
    <t>Runtime:</t>
  </si>
  <si>
    <t>Session Start Time</t>
  </si>
  <si>
    <t>Session End Time</t>
  </si>
  <si>
    <t>Session Duration</t>
  </si>
  <si>
    <t>Session Type</t>
  </si>
  <si>
    <t>Session ID</t>
  </si>
  <si>
    <t>Stage Location</t>
  </si>
  <si>
    <t>Session Name</t>
  </si>
  <si>
    <t>Presenter(s)</t>
  </si>
  <si>
    <t>Lower Thirds</t>
  </si>
  <si>
    <t>Call to Action</t>
  </si>
  <si>
    <t>Notes</t>
  </si>
  <si>
    <t>Host Transition</t>
  </si>
  <si>
    <t>N/A</t>
  </si>
  <si>
    <t>Title for a prerecorded video</t>
  </si>
  <si>
    <t>Hybrid</t>
  </si>
  <si>
    <t>Control Room</t>
  </si>
  <si>
    <t>This is a title for a presentation</t>
  </si>
  <si>
    <t>Cameron Tomisser</t>
  </si>
  <si>
    <t>@camerontomisser</t>
  </si>
  <si>
    <t>aka.ms/camerontomisser</t>
  </si>
  <si>
    <t>cameron is cool</t>
  </si>
  <si>
    <t>In Studio</t>
  </si>
  <si>
    <t>Interstitial Video</t>
  </si>
  <si>
    <t>Prerecorded Video</t>
  </si>
  <si>
    <t>Q&amp;A</t>
  </si>
  <si>
    <t>Slate</t>
  </si>
  <si>
    <t>StreamYard Presenter</t>
  </si>
  <si>
    <t>TBD</t>
  </si>
  <si>
    <t>Teams NDI</t>
  </si>
  <si>
    <t>Stage C</t>
  </si>
  <si>
    <t>formulas</t>
  </si>
  <si>
    <t>TBD Presenter</t>
  </si>
  <si>
    <t>Kick off</t>
  </si>
  <si>
    <t>Burke Holland</t>
  </si>
  <si>
    <t xml:space="preserve">CMO Kick off </t>
  </si>
  <si>
    <t>Kyle Daigle</t>
  </si>
  <si>
    <t xml:space="preserve">Chief Operating Officer, GItHub </t>
  </si>
  <si>
    <t>commercial TBD</t>
  </si>
  <si>
    <t>-</t>
  </si>
  <si>
    <t>Influencer segment</t>
  </si>
  <si>
    <t>Matt Pocock</t>
  </si>
  <si>
    <t>youtube.com/@mattpocockuk</t>
  </si>
  <si>
    <t>Stage A Hex</t>
  </si>
  <si>
    <t>Keynote</t>
  </si>
  <si>
    <t>Burke Holland, Pierce Boggan</t>
  </si>
  <si>
    <t>Principal Cloud Advocate, Microsoft
Principal Product Manager, Microsoft</t>
  </si>
  <si>
    <t>Stage A Pill</t>
  </si>
  <si>
    <t>HydraFusion</t>
  </si>
  <si>
    <t>Aashna Garg (aashnagarg@microsoft.com) &amp; Julia Kasper</t>
  </si>
  <si>
    <t xml:space="preserve">Principal Applied Science Manager, Microsoft </t>
  </si>
  <si>
    <t>Model benchmark</t>
  </si>
  <si>
    <t>Julia Kasper (jukasper@)</t>
  </si>
  <si>
    <t xml:space="preserve">Product manager, Microsoft </t>
  </si>
  <si>
    <t>SDK in Rust</t>
  </si>
  <si>
    <t>Stephen Toub</t>
  </si>
  <si>
    <t>Partner SWE, Microsoft</t>
  </si>
  <si>
    <t>Burke in studio + Stephen remote</t>
  </si>
  <si>
    <t xml:space="preserve">Claude / BYOK </t>
  </si>
  <si>
    <t>Tyler Leonhardt (tyleonha@)</t>
  </si>
  <si>
    <t>Senior Software Engineer, VS Code</t>
  </si>
  <si>
    <t xml:space="preserve">Agent Host Protocol &amp; SDK/Runtime </t>
  </si>
  <si>
    <t>Patrick Nikoletich (patniko@github.com)</t>
  </si>
  <si>
    <t>Distinguished Product Manager, GitHub</t>
  </si>
  <si>
    <t xml:space="preserve">Transition to live coding </t>
  </si>
  <si>
    <t xml:space="preserve">Burke Holland </t>
  </si>
  <si>
    <t>Principal Cloud Advocate, Microsoft</t>
  </si>
  <si>
    <t>Live coding</t>
  </si>
  <si>
    <t>Burke Holland, Pierce Boggan and Wes Bos (Remote)</t>
  </si>
  <si>
    <t>youtube.com/@WesBos</t>
  </si>
  <si>
    <t>GitHub Copilot Day:
Livestreaming Information for BOC</t>
  </si>
  <si>
    <t>September 10, 2026
8:00 am - 12:00 pm Pacific Time</t>
  </si>
  <si>
    <t>Streaming endpoint</t>
  </si>
  <si>
    <t>Platform</t>
  </si>
  <si>
    <t>RTMP</t>
  </si>
  <si>
    <t>Stream Key</t>
  </si>
  <si>
    <t>Timing to go live</t>
  </si>
  <si>
    <t>Contact</t>
  </si>
  <si>
    <t>Moderator(s)</t>
  </si>
  <si>
    <t>GitHub YouTube</t>
  </si>
  <si>
    <t>GitHub X</t>
  </si>
  <si>
    <t>GitHub LinkedIn</t>
  </si>
  <si>
    <t>GitHub TikTok</t>
  </si>
  <si>
    <t>Microsoft Developer X</t>
  </si>
  <si>
    <t>Microsoft Developer TikTok</t>
  </si>
  <si>
    <t>VS Code X</t>
  </si>
  <si>
    <t>VS Code LinkedIn</t>
  </si>
  <si>
    <t>VS Code TikTok</t>
  </si>
  <si>
    <t xml:space="preserve">youtube videos </t>
  </si>
  <si>
    <t>Meet the GitHub Copilot app: Your new AI desktop assistant</t>
  </si>
  <si>
    <t>https://www.youtube.com/watch?v=LsA4vIX_3UY&amp;t=1s</t>
  </si>
  <si>
    <t>GitHub Copilot app for beginners: using the diff, terminal, and browser</t>
  </si>
  <si>
    <t>https://youtu.be/IyWlcES85Zw?si=BgDwnLyaWthuKevk&amp;t=151</t>
  </si>
  <si>
    <t xml:space="preserve">start 2:31 "these built in panels…" </t>
  </si>
  <si>
    <t>New in GitHub Copilot CLI: Bring GitHub right into your terminal</t>
  </si>
  <si>
    <t>https://www.youtube.com/watch?v=YpgA1hJsNF8</t>
  </si>
  <si>
    <t>New Markdown Editor in VS Code!</t>
  </si>
  <si>
    <t xml:space="preserve">https://www.youtube.com/watch?v=7uyRMACA_pM  </t>
  </si>
  <si>
    <t>Show, Hide, &amp; Pin Any Model</t>
  </si>
  <si>
    <t>https://www.youtube.com/shorts/Ad_Inw701vM</t>
  </si>
  <si>
    <t>🐈‍⬛🐈‍⬛🐈‍⬛ go try out auto-reload 🐈‍⬛🐈‍⬛🐈‍⬛</t>
  </si>
  <si>
    <t>https://www.youtube.com/shorts/ZtYTjfxXgsE</t>
  </si>
  <si>
    <t>Agent Sessions that Sync Everywhere with VS Code</t>
  </si>
  <si>
    <t xml:space="preserve">https://www.youtube.com/watch?v=k91ejc3G1YM </t>
  </si>
  <si>
    <t xml:space="preserve">GHU commerical </t>
  </si>
  <si>
    <t>https://www.youtube.com/watch?v=8k7HnPZTBpM</t>
  </si>
  <si>
    <t>How to run parallel AI agents in the GitHub Copilot app | Tutorial for beginners</t>
  </si>
  <si>
    <t xml:space="preserve">https://www.youtube.com/watch?v=F1UwPa7lemA </t>
  </si>
  <si>
    <t>extra</t>
  </si>
  <si>
    <t>VS Code's Agent Host Protocol Explained with Connor Peet</t>
  </si>
  <si>
    <t xml:space="preserve">https://www.youtube.com/watch?v=yuBX0hOuOfw&amp;list=PLj6YeMhvp2S6Y6E-ThuD3eZEPS1kyXQwm&amp;index=1 </t>
  </si>
  <si>
    <t xml:space="preserve">VS Code documentary </t>
  </si>
  <si>
    <t>https://aka.ms/the-story-of-vs-code</t>
  </si>
  <si>
    <t>where are we streaming</t>
  </si>
  <si>
    <t xml:space="preserve">Start/Stop </t>
  </si>
  <si>
    <t>YouTube</t>
  </si>
  <si>
    <t>GitHub</t>
  </si>
  <si>
    <t xml:space="preserve">Cameron/Kaitlin </t>
  </si>
  <si>
    <t xml:space="preserve">(make collab to show up on MSFT Dev and VS Code after so it shows up on their channel) </t>
  </si>
  <si>
    <t>X</t>
  </si>
  <si>
    <t>Amanda</t>
  </si>
  <si>
    <t>MSFT Dev</t>
  </si>
  <si>
    <t>Christian</t>
  </si>
  <si>
    <t xml:space="preserve">VS Code  (may not be able to livestream anymore) </t>
  </si>
  <si>
    <t xml:space="preserve">Cynthia </t>
  </si>
  <si>
    <t>LinkedIn</t>
  </si>
  <si>
    <t>VS Code</t>
  </si>
  <si>
    <t>Cynthia</t>
  </si>
  <si>
    <t>Instagram</t>
  </si>
  <si>
    <t xml:space="preserve">Not possible (requires extra production to make it vertical) </t>
  </si>
  <si>
    <t>TikTok</t>
  </si>
  <si>
    <t>Conference/Series Name Here</t>
  </si>
  <si>
    <t>Event Description:</t>
  </si>
  <si>
    <t>Session Number</t>
  </si>
  <si>
    <t>Video/Session Title</t>
  </si>
  <si>
    <t>Video/Session Description</t>
  </si>
  <si>
    <t>Speaker(s)</t>
  </si>
  <si>
    <t>Speaker(s) Email</t>
  </si>
  <si>
    <t>Social Handle(s)</t>
  </si>
  <si>
    <t>CTA Links</t>
  </si>
  <si>
    <t>Chapter Markers</t>
  </si>
  <si>
    <t>Link to RAW files</t>
  </si>
  <si>
    <t>Link to Final Files</t>
  </si>
  <si>
    <t>Thumbnail Image URL</t>
  </si>
  <si>
    <t>YouTube URL</t>
  </si>
  <si>
    <t xml:space="preserve">Edited? </t>
  </si>
  <si>
    <t>Uploaded?</t>
  </si>
  <si>
    <t>Conference Name Here</t>
  </si>
  <si>
    <t>Microsoft Presenters</t>
  </si>
  <si>
    <t>Session Title</t>
  </si>
  <si>
    <t>Company</t>
  </si>
  <si>
    <t>Title</t>
  </si>
  <si>
    <t>Email</t>
  </si>
  <si>
    <t>Social Handles</t>
  </si>
  <si>
    <t>Location or Timezone</t>
  </si>
  <si>
    <t>Recording Location</t>
  </si>
  <si>
    <t>Recording Date</t>
  </si>
  <si>
    <t>Recording Time</t>
  </si>
  <si>
    <t>Invite Sent?</t>
  </si>
  <si>
    <t>Streamyard Link</t>
  </si>
  <si>
    <t>Technical Director</t>
  </si>
  <si>
    <t>TRT</t>
  </si>
  <si>
    <t>Link To Headshot</t>
  </si>
  <si>
    <t>NON-Microsoft Presenters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</si>
</sst>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;@"/>
    <numFmt numFmtId="165" formatCode="[m]\ \m\i\n\u\t\e\s"/>
    <numFmt numFmtId="166" formatCode="[h]:mm"/>
  </numFmts>
  <fonts count="19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36"/>
      <color theme="1"/>
      <name val="Segoe UI"/>
      <family val="2"/>
    </font>
    <font>
      <sz val="11"/>
      <color theme="1"/>
      <name val="Segoe UI"/>
      <family val="2"/>
    </font>
    <font>
      <sz val="28"/>
      <color theme="1"/>
      <name val="Segoe UI"/>
      <family val="2"/>
    </font>
    <font>
      <sz val="12"/>
      <color theme="1"/>
      <name val="Segoe UI"/>
      <family val="2"/>
    </font>
    <font>
      <sz val="28"/>
      <color theme="0"/>
      <name val="Segoe UI"/>
      <family val="2"/>
    </font>
    <font>
      <sz val="26"/>
      <color theme="0"/>
      <name val="Segoe UI"/>
      <family val="2"/>
    </font>
    <font>
      <sz val="26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12"/>
      <color theme="8" tint="0.39997558519241921"/>
      <name val="Segoe UI"/>
      <family val="2"/>
    </font>
    <font>
      <b/>
      <sz val="18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2"/>
      <name val="Segoe UI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2"/>
      <color theme="1"/>
      <name val="Segoe UI"/>
    </font>
    <font>
      <sz val="16"/>
      <color theme="0"/>
      <name val="Aptos ExtraBold"/>
    </font>
    <font>
      <b/>
      <sz val="12"/>
      <color rgb="FF242424"/>
      <name val="Aptos Narrow"/>
      <charset val="1"/>
    </font>
  </fonts>
  <fills count="10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20" fontId="3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20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/>
    <xf numFmtId="20" fontId="3" fillId="0" borderId="0" xfId="0" applyNumberFormat="1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9" fillId="0" borderId="0" xfId="1" applyAlignment="1">
      <alignment horizontal="center" vertical="center"/>
    </xf>
    <xf numFmtId="16" fontId="4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center" vertical="center" wrapText="1"/>
    </xf>
    <xf numFmtId="18" fontId="5" fillId="0" borderId="0" xfId="0" applyNumberFormat="1" applyFont="1" applyAlignment="1">
      <alignment horizontal="center" vertical="center" wrapText="1"/>
    </xf>
    <xf numFmtId="0" fontId="3" fillId="4" borderId="0" xfId="0" applyFont="1" applyFill="1"/>
    <xf numFmtId="0" fontId="10" fillId="0" borderId="1" xfId="0" applyFont="1" applyBorder="1" applyAlignment="1">
      <alignment horizontal="center" vertical="center" wrapText="1"/>
    </xf>
    <xf numFmtId="0" fontId="11" fillId="0" borderId="0" xfId="0" applyFont="1"/>
    <xf numFmtId="0" fontId="9" fillId="0" borderId="0" xfId="1"/>
    <xf numFmtId="0" fontId="12" fillId="0" borderId="0" xfId="0" applyFont="1"/>
    <xf numFmtId="0" fontId="13" fillId="5" borderId="0" xfId="0" applyFont="1" applyFill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14" fillId="6" borderId="0" xfId="0" applyFont="1" applyFill="1"/>
    <xf numFmtId="0" fontId="15" fillId="7" borderId="0" xfId="0" applyFont="1" applyFill="1"/>
    <xf numFmtId="164" fontId="16" fillId="0" borderId="0" xfId="0" applyNumberFormat="1" applyFont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7" fillId="8" borderId="0" xfId="0" applyFont="1" applyFill="1" applyAlignment="1">
      <alignment horizontal="left" vertical="center" wrapText="1"/>
    </xf>
    <xf numFmtId="0" fontId="18" fillId="9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121"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wrapText="0" indent="0" justifyLastLine="0" shrinkToFit="0" readingOrder="0"/>
    </dxf>
    <dxf>
      <font>
        <name val="Segoe UI"/>
      </font>
      <alignment horizontal="center" vertical="center" textRotation="0" wrapText="0" indent="0" justifyLastLine="0" shrinkToFit="0" readingOrder="0"/>
    </dxf>
    <dxf>
      <font>
        <name val="Segoe UI"/>
      </font>
      <alignment horizontal="center" vertical="center" textRotation="0" wrapText="0" indent="0" justifyLastLine="0" shrinkToFit="0" readingOrder="0"/>
    </dxf>
    <dxf>
      <font>
        <name val="Segoe UI"/>
      </font>
      <alignment horizontal="center" vertical="center" textRotation="0" wrapText="0" indent="0" justifyLastLine="0" shrinkToFit="0" readingOrder="0"/>
    </dxf>
    <dxf>
      <font>
        <name val="Segoe UI"/>
      </font>
      <alignment horizontal="center" vertical="center" textRotation="0" wrapText="0" indent="0" justifyLastLine="0" shrinkToFit="0" readingOrder="0"/>
    </dxf>
    <dxf>
      <font>
        <name val="Segoe UI"/>
      </font>
      <alignment horizontal="center" vertical="center" textRotation="0" wrapText="0" indent="0" justifyLastLine="0" shrinkToFit="0" readingOrder="0"/>
    </dxf>
    <dxf>
      <font>
        <name val="Segoe UI"/>
      </font>
      <alignment horizontal="center" vertical="center" textRotation="0" wrapText="0" indent="0" justifyLastLine="0" shrinkToFit="0" readingOrder="0"/>
    </dxf>
    <dxf>
      <font>
        <name val="Segoe UI"/>
      </font>
      <alignment horizontal="center" vertical="center" textRotation="0" wrapText="0" indent="0" justifyLastLine="0" shrinkToFit="0" readingOrder="0"/>
    </dxf>
    <dxf>
      <font>
        <name val="Segoe UI"/>
      </font>
      <alignment horizontal="center" vertical="center" textRotation="0" wrapText="0" indent="0" justifyLastLine="0" shrinkToFit="0" readingOrder="0"/>
    </dxf>
    <dxf>
      <font>
        <name val="Segoe UI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name val="Segoe UI"/>
      </font>
      <alignment horizontal="center" vertical="center" textRotation="0" wrapText="0" indent="0" justifyLastLine="0" shrinkToFit="0" readingOrder="0"/>
    </dxf>
    <dxf>
      <font>
        <name val="Segoe UI"/>
      </font>
      <alignment horizontal="center" vertical="center" textRotation="0" wrapText="0" indent="0" justifyLastLine="0" shrinkToFit="0" readingOrder="0"/>
    </dxf>
    <dxf>
      <font>
        <name val="Segoe UI"/>
      </font>
      <alignment horizontal="center" vertical="center" textRotation="0" wrapText="0" indent="0" justifyLastLine="0" shrinkToFit="0" readingOrder="0"/>
    </dxf>
    <dxf>
      <font>
        <name val="Segoe UI"/>
      </font>
      <alignment horizontal="center" vertical="center" textRotation="0" wrapText="0" indent="0" justifyLastLine="0" shrinkToFit="0" readingOrder="0"/>
    </dxf>
    <dxf>
      <font>
        <name val="Segoe UI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numFmt numFmtId="25" formatCode="h:mm"/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numFmt numFmtId="164" formatCode="[$-409]h:mm\ AM/PM;@"/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numFmt numFmtId="164" formatCode="[$-409]h:mm\ AM/PM;@"/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name val="Segoe UI"/>
      </font>
      <alignment horizontal="center" vertical="center" textRotation="0" indent="0" justifyLastLine="0" shrinkToFit="0" readingOrder="0"/>
    </dxf>
    <dxf>
      <font>
        <color theme="0"/>
      </font>
      <fill>
        <patternFill>
          <fgColor theme="9" tint="0.39985351115451523"/>
          <bgColor rgb="FF4200C7"/>
        </patternFill>
      </fill>
    </dxf>
    <dxf>
      <font>
        <color theme="1"/>
      </font>
      <fill>
        <patternFill>
          <fgColor theme="9" tint="0.39985351115451523"/>
          <bgColor rgb="FFFF9E9E"/>
        </patternFill>
      </fill>
    </dxf>
    <dxf>
      <font>
        <color theme="0"/>
      </font>
      <fill>
        <patternFill>
          <fgColor theme="9" tint="0.39982299264503923"/>
          <bgColor rgb="FF12501A"/>
        </patternFill>
      </fill>
    </dxf>
    <dxf>
      <font>
        <color theme="0"/>
      </font>
      <fill>
        <patternFill>
          <fgColor theme="9" tint="0.39982299264503923"/>
          <bgColor rgb="FF702E0A"/>
        </patternFill>
      </fill>
    </dxf>
    <dxf>
      <font>
        <color theme="0"/>
      </font>
      <fill>
        <patternFill>
          <fgColor theme="9" tint="0.39985351115451523"/>
          <bgColor rgb="FF095977"/>
        </patternFill>
      </fill>
    </dxf>
    <dxf>
      <font>
        <color theme="1"/>
      </font>
      <fill>
        <patternFill patternType="solid">
          <fgColor theme="9" tint="0.39979247413556324"/>
          <bgColor rgb="FFE8E8E8"/>
        </patternFill>
      </fill>
    </dxf>
    <dxf>
      <font>
        <color theme="1"/>
      </font>
      <fill>
        <patternFill>
          <fgColor theme="9" tint="0.39982299264503923"/>
          <bgColor rgb="FFC4C4C4"/>
        </patternFill>
      </fill>
    </dxf>
    <dxf>
      <fill>
        <patternFill>
          <fgColor theme="9" tint="0.39985351115451523"/>
          <bgColor rgb="FFC0E6F5"/>
        </patternFill>
      </fill>
    </dxf>
    <dxf>
      <fill>
        <patternFill>
          <fgColor theme="9" tint="0.39991454817346722"/>
          <bgColor theme="9" tint="0.39994506668294322"/>
        </patternFill>
      </fill>
    </dxf>
    <dxf>
      <fill>
        <patternFill>
          <fgColor theme="9" tint="0.39988402966399123"/>
          <bgColor theme="8" tint="0.79998168889431442"/>
        </patternFill>
      </fill>
    </dxf>
    <dxf>
      <font>
        <color theme="0"/>
      </font>
      <fill>
        <patternFill>
          <fgColor theme="9" tint="0.39985351115451523"/>
          <bgColor rgb="FF4200C7"/>
        </patternFill>
      </fill>
    </dxf>
    <dxf>
      <font>
        <color theme="1"/>
      </font>
      <fill>
        <patternFill>
          <fgColor theme="9" tint="0.39985351115451523"/>
          <bgColor rgb="FFFF9E9E"/>
        </patternFill>
      </fill>
    </dxf>
    <dxf>
      <font>
        <color theme="0"/>
      </font>
      <fill>
        <patternFill>
          <fgColor theme="9" tint="0.39982299264503923"/>
          <bgColor rgb="FF12501A"/>
        </patternFill>
      </fill>
    </dxf>
    <dxf>
      <font>
        <color theme="0"/>
      </font>
      <fill>
        <patternFill>
          <fgColor theme="9" tint="0.39982299264503923"/>
          <bgColor rgb="FF702E0A"/>
        </patternFill>
      </fill>
    </dxf>
    <dxf>
      <font>
        <color theme="0"/>
      </font>
      <fill>
        <patternFill>
          <fgColor theme="9" tint="0.39985351115451523"/>
          <bgColor rgb="FF095977"/>
        </patternFill>
      </fill>
    </dxf>
    <dxf>
      <font>
        <color theme="1"/>
      </font>
      <fill>
        <patternFill patternType="solid">
          <fgColor theme="9" tint="0.39979247413556324"/>
          <bgColor rgb="FFE8E8E8"/>
        </patternFill>
      </fill>
    </dxf>
    <dxf>
      <font>
        <color theme="1"/>
      </font>
      <fill>
        <patternFill>
          <fgColor theme="9" tint="0.39982299264503923"/>
          <bgColor rgb="FFC4C4C4"/>
        </patternFill>
      </fill>
    </dxf>
    <dxf>
      <fill>
        <patternFill>
          <fgColor theme="9" tint="0.39985351115451523"/>
          <bgColor rgb="FFC0E6F5"/>
        </patternFill>
      </fill>
    </dxf>
    <dxf>
      <fill>
        <patternFill>
          <fgColor theme="9" tint="0.39991454817346722"/>
          <bgColor theme="9" tint="0.39994506668294322"/>
        </patternFill>
      </fill>
    </dxf>
    <dxf>
      <fill>
        <patternFill>
          <fgColor theme="9" tint="0.39988402966399123"/>
          <bgColor theme="8" tint="0.79998168889431442"/>
        </patternFill>
      </fill>
    </dxf>
    <dxf>
      <font>
        <color theme="0"/>
      </font>
      <fill>
        <patternFill>
          <fgColor theme="9" tint="0.39985351115451523"/>
          <bgColor rgb="FF4200C7"/>
        </patternFill>
      </fill>
    </dxf>
    <dxf>
      <font>
        <color theme="1"/>
      </font>
      <fill>
        <patternFill>
          <fgColor theme="9" tint="0.39985351115451523"/>
          <bgColor rgb="FFFF9E9E"/>
        </patternFill>
      </fill>
    </dxf>
    <dxf>
      <font>
        <color theme="0"/>
      </font>
      <fill>
        <patternFill>
          <fgColor theme="9" tint="0.39982299264503923"/>
          <bgColor rgb="FF12501A"/>
        </patternFill>
      </fill>
    </dxf>
    <dxf>
      <font>
        <color theme="0"/>
      </font>
      <fill>
        <patternFill>
          <fgColor theme="9" tint="0.39982299264503923"/>
          <bgColor rgb="FF702E0A"/>
        </patternFill>
      </fill>
    </dxf>
    <dxf>
      <font>
        <color theme="0"/>
      </font>
      <fill>
        <patternFill>
          <fgColor theme="9" tint="0.39985351115451523"/>
          <bgColor rgb="FF095977"/>
        </patternFill>
      </fill>
    </dxf>
    <dxf>
      <font>
        <color theme="1"/>
      </font>
      <fill>
        <patternFill patternType="solid">
          <fgColor theme="9" tint="0.39979247413556324"/>
          <bgColor rgb="FFE8E8E8"/>
        </patternFill>
      </fill>
    </dxf>
    <dxf>
      <font>
        <color theme="1"/>
      </font>
      <fill>
        <patternFill>
          <fgColor theme="9" tint="0.39982299264503923"/>
          <bgColor rgb="FFC4C4C4"/>
        </patternFill>
      </fill>
    </dxf>
    <dxf>
      <fill>
        <patternFill>
          <fgColor theme="9" tint="0.39985351115451523"/>
          <bgColor rgb="FFC0E6F5"/>
        </patternFill>
      </fill>
    </dxf>
    <dxf>
      <fill>
        <patternFill>
          <fgColor theme="9" tint="0.39991454817346722"/>
          <bgColor theme="9" tint="0.39994506668294322"/>
        </patternFill>
      </fill>
    </dxf>
    <dxf>
      <fill>
        <patternFill>
          <fgColor theme="9" tint="0.39988402966399123"/>
          <bgColor theme="8" tint="0.79998168889431442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numFmt numFmtId="25" formatCode="h:mm"/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numFmt numFmtId="164" formatCode="[$-409]h:mm\ AM/PM;@"/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numFmt numFmtId="164" formatCode="[$-409]h:mm\ AM/PM;@"/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</dxf>
    <dxf>
      <font>
        <name val="Segoe UI"/>
      </font>
      <alignment horizontal="center" vertical="center" textRotation="0" indent="0" justifyLastLine="0" shrinkToFit="0" readingOrder="0"/>
    </dxf>
    <dxf>
      <font>
        <color theme="0"/>
      </font>
      <fill>
        <patternFill>
          <fgColor theme="9" tint="0.39985351115451523"/>
          <bgColor rgb="FF4200C7"/>
        </patternFill>
      </fill>
    </dxf>
    <dxf>
      <font>
        <color theme="1"/>
      </font>
      <fill>
        <patternFill>
          <fgColor theme="9" tint="0.39985351115451523"/>
          <bgColor rgb="FFFF9E9E"/>
        </patternFill>
      </fill>
    </dxf>
    <dxf>
      <font>
        <color theme="0"/>
      </font>
      <fill>
        <patternFill>
          <fgColor theme="9" tint="0.39982299264503923"/>
          <bgColor rgb="FF12501A"/>
        </patternFill>
      </fill>
    </dxf>
    <dxf>
      <font>
        <color theme="0"/>
      </font>
      <fill>
        <patternFill>
          <fgColor theme="9" tint="0.39982299264503923"/>
          <bgColor rgb="FF702E0A"/>
        </patternFill>
      </fill>
    </dxf>
    <dxf>
      <font>
        <color theme="0"/>
      </font>
      <fill>
        <patternFill>
          <fgColor theme="9" tint="0.39985351115451523"/>
          <bgColor rgb="FF095977"/>
        </patternFill>
      </fill>
    </dxf>
    <dxf>
      <font>
        <color theme="1"/>
      </font>
      <fill>
        <patternFill patternType="solid">
          <fgColor theme="9" tint="0.39979247413556324"/>
          <bgColor rgb="FFE8E8E8"/>
        </patternFill>
      </fill>
    </dxf>
    <dxf>
      <font>
        <color theme="1"/>
      </font>
      <fill>
        <patternFill>
          <fgColor theme="9" tint="0.39982299264503923"/>
          <bgColor rgb="FFC4C4C4"/>
        </patternFill>
      </fill>
    </dxf>
    <dxf>
      <fill>
        <patternFill>
          <fgColor theme="9" tint="0.39985351115451523"/>
          <bgColor rgb="FFC0E6F5"/>
        </patternFill>
      </fill>
    </dxf>
    <dxf>
      <fill>
        <patternFill>
          <fgColor theme="9" tint="0.39991454817346722"/>
          <bgColor theme="9" tint="0.39994506668294322"/>
        </patternFill>
      </fill>
    </dxf>
    <dxf>
      <fill>
        <patternFill>
          <fgColor theme="9" tint="0.39988402966399123"/>
          <bgColor theme="8" tint="0.79998168889431442"/>
        </patternFill>
      </fill>
    </dxf>
  </dxfs>
  <tableStyles count="0" defaultTableStyle="TableStyleMedium2" defaultPivotStyle="PivotStyleLight16"/>
  <colors>
    <mruColors>
      <color rgb="FFC4C4C4"/>
      <color rgb="FF4200C7"/>
      <color rgb="FFFF9E9E"/>
      <color rgb="FF12501A"/>
      <color rgb="FF702E0A"/>
      <color rgb="FF095977"/>
      <color rgb="FFE8E8E8"/>
      <color rgb="FFC0E6F5"/>
      <color rgb="FF8ED973"/>
      <color rgb="FFF2CE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F3A483-C370-44BF-8D59-507B59D3DB24}" name="LiveShow" displayName="LiveShow" ref="A3:K23" totalsRowShown="0" headerRowDxfId="110" dataDxfId="109">
  <autoFilter ref="A3:K23" xr:uid="{6EF3A483-C370-44BF-8D59-507B59D3DB24}"/>
  <sortState xmlns:xlrd2="http://schemas.microsoft.com/office/spreadsheetml/2017/richdata2" ref="A4:K23">
    <sortCondition ref="A3:A23"/>
  </sortState>
  <tableColumns count="11">
    <tableColumn id="1" xr3:uid="{DD3C53B6-E528-42CC-955B-30AB8A2D4544}" name="Session Start Time" dataDxfId="108"/>
    <tableColumn id="2" xr3:uid="{ACF41584-E336-4F9F-95BB-3A40E0AA6C43}" name="Session End Time" dataDxfId="107"/>
    <tableColumn id="3" xr3:uid="{88CF1A4F-DF56-4215-88C7-56BC036F4A3A}" name="Session Duration" dataDxfId="106">
      <calculatedColumnFormula>IF(ISBLANK(A4), "", B4-A4)</calculatedColumnFormula>
    </tableColumn>
    <tableColumn id="4" xr3:uid="{7A198AA3-D868-44E7-AF24-FCDC626A9340}" name="Session Type" dataDxfId="105"/>
    <tableColumn id="5" xr3:uid="{80E0C790-F09F-48A1-A8A8-11463585C8A7}" name="Session ID" dataDxfId="104"/>
    <tableColumn id="6" xr3:uid="{195250F7-3FEE-4D07-91AE-C5C81EB92A04}" name="Stage Location" dataDxfId="103"/>
    <tableColumn id="7" xr3:uid="{ECAEA537-D63A-4494-9D6F-0714F5510DC9}" name="Session Name" dataDxfId="102"/>
    <tableColumn id="8" xr3:uid="{3BA8E015-AC6B-4042-8748-6B2D0E2A8777}" name="Presenter(s)" dataDxfId="101"/>
    <tableColumn id="9" xr3:uid="{F80F507B-6E82-429A-AC0D-95D0A19734DC}" name="Lower Thirds" dataDxfId="100"/>
    <tableColumn id="10" xr3:uid="{97E9E7BB-345B-4AB8-AEE5-4110B13998FD}" name="Call to Action" dataDxfId="99"/>
    <tableColumn id="11" xr3:uid="{3C64E3EF-4447-4766-8AA6-61B2D2FD19B2}" name="Notes" dataDxfId="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3DF77F-5BBE-448D-8DFC-6D7B89B3A387}" name="LiveShow6" displayName="LiveShow6" ref="A3:K22" totalsRowShown="0" headerRowDxfId="67" dataDxfId="66">
  <autoFilter ref="A3:K22" xr:uid="{4B3DF77F-5BBE-448D-8DFC-6D7B89B3A387}"/>
  <sortState xmlns:xlrd2="http://schemas.microsoft.com/office/spreadsheetml/2017/richdata2" ref="A4:K20">
    <sortCondition ref="A3:A20"/>
  </sortState>
  <tableColumns count="11">
    <tableColumn id="1" xr3:uid="{168431AB-B631-4444-B4FD-337844847487}" name="Session Start Time" dataDxfId="65"/>
    <tableColumn id="2" xr3:uid="{728AA71E-F94D-46E6-BF36-5912FEE4100E}" name="Session End Time" dataDxfId="64"/>
    <tableColumn id="3" xr3:uid="{96F4CA5F-BE24-4AB2-980C-3AC42C45D8ED}" name="Session Duration" dataDxfId="63">
      <calculatedColumnFormula>IF(AND(A4&lt;&gt;"",B4&lt;&gt;""),B4-A4,"")</calculatedColumnFormula>
    </tableColumn>
    <tableColumn id="4" xr3:uid="{1BF3026D-F89A-43E2-8AC5-EAFA12D2CDD2}" name="Session Type" dataDxfId="62"/>
    <tableColumn id="5" xr3:uid="{088F3E43-5500-4264-A22C-30D027E91EF3}" name="Session ID" dataDxfId="61"/>
    <tableColumn id="6" xr3:uid="{FCEB649A-6E01-4801-B8E9-277A61FE7054}" name="Stage Location" dataDxfId="60"/>
    <tableColumn id="7" xr3:uid="{7EB1EB33-4E8E-4E98-9E4B-39629BD8DA39}" name="Session Name" dataDxfId="59"/>
    <tableColumn id="8" xr3:uid="{EECBFA13-9FE0-42AE-9A0D-7D8C7652FB4C}" name="Presenter(s)" dataDxfId="58"/>
    <tableColumn id="9" xr3:uid="{9B113226-3D46-4662-967F-495F3944FE54}" name="Lower Thirds" dataDxfId="57"/>
    <tableColumn id="10" xr3:uid="{5636A5D6-D8BB-4FF8-B319-C5B364ADE2C4}" name="Call to Action" dataDxfId="56"/>
    <tableColumn id="11" xr3:uid="{58A9AE66-7F74-4ECD-980A-9CD273ACCC02}" name="Notes" dataDxfId="5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F6C5E4-228A-472F-9628-0BD8E569F235}" name="Table6" displayName="Table6" ref="A4:H16" totalsRowShown="0">
  <autoFilter ref="A4:H16" xr:uid="{70F6C5E4-228A-472F-9628-0BD8E569F235}"/>
  <tableColumns count="8">
    <tableColumn id="1" xr3:uid="{0204296A-5C94-45B3-84A7-8C2D27200DDF}" name="Streaming endpoint"/>
    <tableColumn id="2" xr3:uid="{7B3FB800-25C2-4E25-828C-2CE438706751}" name="Platform">
      <calculatedColumnFormula>_xlfn.TEXTAFTER(Table6[[#This Row],[Streaming endpoint]], " ", -1)</calculatedColumnFormula>
    </tableColumn>
    <tableColumn id="3" xr3:uid="{8BFF59C3-6108-4B71-9EBD-432AD76184C4}" name="RTMP"/>
    <tableColumn id="4" xr3:uid="{9F568DFB-FA93-4094-B017-A71E9F162E16}" name="Stream Key"/>
    <tableColumn id="5" xr3:uid="{8D852F42-3A53-47C2-AB08-024DD175A2B9}" name="Timing to go live"/>
    <tableColumn id="6" xr3:uid="{740E42F7-3856-402A-A982-9F84F8687C20}" name="Contact"/>
    <tableColumn id="7" xr3:uid="{50C31F67-E3BF-4F50-B522-CDEE7D0EC691}" name="Notes"/>
    <tableColumn id="8" xr3:uid="{FEE52885-F162-45C5-98F8-FAE45D47034B}" name="Moderator(s)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220631-D85A-41A1-B17E-0E7BED772A1F}" name="VideoDetails" displayName="VideoDetails" ref="A3:O23" totalsRowShown="0" headerRowDxfId="54" dataDxfId="53">
  <autoFilter ref="A3:O23" xr:uid="{72220631-D85A-41A1-B17E-0E7BED772A1F}"/>
  <tableColumns count="15">
    <tableColumn id="1" xr3:uid="{40FA409A-29FB-4475-8349-0B41BFA1ABFC}" name="Session Number" dataDxfId="52"/>
    <tableColumn id="2" xr3:uid="{69BA208A-695C-4E3B-870A-7FE01211DCF3}" name="Video/Session Title" dataDxfId="51"/>
    <tableColumn id="3" xr3:uid="{127482C7-6386-42EE-BB25-624A86B11EAC}" name="Video/Session Description" dataDxfId="50"/>
    <tableColumn id="4" xr3:uid="{A2A1894D-AE10-4D91-8F2F-29CDD3895F70}" name="Speaker(s)" dataDxfId="49"/>
    <tableColumn id="15" xr3:uid="{5B7E61E1-4A5B-4ADB-950B-D3FF71E54D06}" name="Speaker(s) Email" dataDxfId="48"/>
    <tableColumn id="5" xr3:uid="{AA5F9F15-A96A-4A4E-AC55-0A642C59AF40}" name="Social Handle(s)" dataDxfId="47"/>
    <tableColumn id="6" xr3:uid="{7618AE31-E00E-44A4-AC15-1C3D808E19AA}" name="CTA Links" dataDxfId="46"/>
    <tableColumn id="7" xr3:uid="{41B1A4EF-CB38-4D0F-A5C0-36549C78D11C}" name="Chapter Markers" dataDxfId="45"/>
    <tableColumn id="8" xr3:uid="{C00BB83A-C35B-49AC-B7D1-C2A40D0946BC}" name="Link to RAW files" dataDxfId="44"/>
    <tableColumn id="9" xr3:uid="{E892B4C1-EC29-4F1A-9ED6-BF8E737C9360}" name="Link to Final Files" dataDxfId="43"/>
    <tableColumn id="10" xr3:uid="{B8803299-4A7C-400F-A38B-43505BB5C459}" name="Thumbnail Image URL" dataDxfId="42"/>
    <tableColumn id="11" xr3:uid="{2D4A5536-6B44-492D-B6C4-33F137B4703F}" name="YouTube URL" dataDxfId="41"/>
    <tableColumn id="12" xr3:uid="{F5234459-0CD3-4A78-8943-C4DBF265D91A}" name="Edited? " dataDxfId="40"/>
    <tableColumn id="13" xr3:uid="{835C56FE-7639-41B6-A68D-E19DBCB2FB52}" name="Uploaded?" dataDxfId="39"/>
    <tableColumn id="14" xr3:uid="{45B3C6FE-91D5-4C7E-9271-87CD7505C293}" name="Notes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A1211E-2A82-45F8-A095-A172FA768E54}" name="SchedulingMicrosoft" displayName="SchedulingMicrosoft" ref="A4:Q24" totalsRowShown="0" headerRowDxfId="37" dataDxfId="36">
  <autoFilter ref="A4:Q24" xr:uid="{72220631-D85A-41A1-B17E-0E7BED772A1F}"/>
  <tableColumns count="17">
    <tableColumn id="1" xr3:uid="{A84FEED3-80F9-4C4A-A50A-3AE69D50F6A1}" name="Session Number" dataDxfId="35"/>
    <tableColumn id="2" xr3:uid="{2F864544-0E7A-49A0-8EC4-992051ECB503}" name="Session Title" dataDxfId="34"/>
    <tableColumn id="3" xr3:uid="{E53F0592-7AD9-43A4-B1EA-1364A40963B4}" name="Presenter(s)" dataDxfId="33"/>
    <tableColumn id="4" xr3:uid="{DDF4BBDD-0A8E-45FF-B9DE-989ABCACA8A6}" name="Company" dataDxfId="32"/>
    <tableColumn id="5" xr3:uid="{BCA55078-B4EF-42A6-B58E-CD81D07CD5A1}" name="Title" dataDxfId="31"/>
    <tableColumn id="6" xr3:uid="{428D91AD-B4D8-4BD5-9290-C98136C228A7}" name="Email" dataDxfId="30"/>
    <tableColumn id="7" xr3:uid="{D06F6989-EF1C-4E28-9AFF-95EDBA7FFF9A}" name="Social Handles" dataDxfId="29"/>
    <tableColumn id="8" xr3:uid="{682DF9C4-A879-4E2F-A64D-E814EEC5F265}" name="Location or Timezone" dataDxfId="28"/>
    <tableColumn id="9" xr3:uid="{4ABA9CDD-1507-4984-9737-56121FCCD6C6}" name="Recording Location" dataDxfId="27"/>
    <tableColumn id="10" xr3:uid="{7C7CBD5D-E91B-4B51-A725-6FB33871D89C}" name="Recording Date" dataDxfId="26"/>
    <tableColumn id="11" xr3:uid="{A3F9A8B3-7F37-48D4-90DE-94750B692176}" name="Recording Time" dataDxfId="25"/>
    <tableColumn id="12" xr3:uid="{12B84D83-B487-430E-8029-35944D6343A6}" name="Invite Sent?" dataDxfId="24"/>
    <tableColumn id="14" xr3:uid="{B85258C8-4B20-43D3-9B85-E2C0DA4E7678}" name="Streamyard Link" dataDxfId="23"/>
    <tableColumn id="16" xr3:uid="{C7AE8EA6-ECF3-4266-81EA-41E0891C4FCC}" name="Technical Director" dataDxfId="22"/>
    <tableColumn id="17" xr3:uid="{0032B43B-438B-451A-A44D-335866C81681}" name="TRT" dataDxfId="21"/>
    <tableColumn id="18" xr3:uid="{44ED400B-3A25-41B3-AE46-C415DFF9C371}" name="Link To Headshot" dataDxfId="20"/>
    <tableColumn id="19" xr3:uid="{C26E66FA-345E-437C-BD1F-E38A2FAF6C7A}" name="Notes" dataDxfId="1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496AF2-3673-4D3C-999A-65ACA2AD536F}" name="SchedulingNonMicrosoft5" displayName="SchedulingNonMicrosoft5" ref="A27:Q47" totalsRowShown="0" headerRowDxfId="18" dataDxfId="17">
  <autoFilter ref="A27:Q47" xr:uid="{8F496AF2-3673-4D3C-999A-65ACA2AD536F}"/>
  <tableColumns count="17">
    <tableColumn id="1" xr3:uid="{4DF53886-649A-4B99-868A-81C9225FA866}" name="Session Number" dataDxfId="16"/>
    <tableColumn id="2" xr3:uid="{6B58AFB4-75C4-4D8B-BED8-51533E34327A}" name="Session Title" dataDxfId="15"/>
    <tableColumn id="3" xr3:uid="{A27DF431-A590-4C32-ACA0-CDC580D0068D}" name="Presenter(s)" dataDxfId="14"/>
    <tableColumn id="4" xr3:uid="{BF4BD8C4-D9C1-4BBA-AACE-E6E5B385F859}" name="Company" dataDxfId="13"/>
    <tableColumn id="5" xr3:uid="{552B348F-88C9-40F1-8D15-CB75530541A5}" name="Title" dataDxfId="12"/>
    <tableColumn id="6" xr3:uid="{D1AEC8CF-3A6F-4517-AC9F-80A7A24CD3EE}" name="Email" dataDxfId="11"/>
    <tableColumn id="7" xr3:uid="{43FCAC19-5343-4AAB-AECE-109A54C849E1}" name="Social Handles" dataDxfId="10"/>
    <tableColumn id="8" xr3:uid="{C0E59092-83EA-4AF3-A226-8C989FADF6D1}" name="Location or Timezone" dataDxfId="9"/>
    <tableColumn id="9" xr3:uid="{85FE0726-CA6C-4191-A0C9-87DEC5341DAA}" name="Recording Location" dataDxfId="8"/>
    <tableColumn id="10" xr3:uid="{67897846-A1B6-4852-A99E-A8FF6394A8BD}" name="Recording Date" dataDxfId="7"/>
    <tableColumn id="11" xr3:uid="{1806E6CA-B0E0-4568-AD30-4E17C05547A4}" name="Recording Time" dataDxfId="6"/>
    <tableColumn id="12" xr3:uid="{2C731EFF-816C-479F-8A20-4CC5EA1E5143}" name="Invite Sent?" dataDxfId="5"/>
    <tableColumn id="14" xr3:uid="{88C4B3AA-9BE5-42BE-B495-1209A0675500}" name="Streamyard Link" dataDxfId="4"/>
    <tableColumn id="16" xr3:uid="{6EB620A4-B5EC-42B3-8C30-C9A26F78C72E}" name="Technical Director" dataDxfId="3"/>
    <tableColumn id="17" xr3:uid="{3AD2C03A-E744-40E5-BB88-7F1DCEFD6182}" name="TRT" dataDxfId="2"/>
    <tableColumn id="18" xr3:uid="{D33D3D31-E84D-4091-9BD5-5CFBD29812E4}" name="Link To Headshot" dataDxfId="1"/>
    <tableColumn id="19" xr3:uid="{57EF58E3-3ECA-4DEF-BF26-9E80ABA24FC8}" name="Note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youtube.com/@mattpocockuk" TargetMode="External"/><Relationship Id="rId1" Type="http://schemas.openxmlformats.org/officeDocument/2006/relationships/hyperlink" Target="mailto:youtube.com/@WesBo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F1UwPa7lemA" TargetMode="External"/><Relationship Id="rId3" Type="http://schemas.openxmlformats.org/officeDocument/2006/relationships/hyperlink" Target="https://www.youtube.com/watch?v=8k7HnPZTBpM" TargetMode="External"/><Relationship Id="rId7" Type="http://schemas.openxmlformats.org/officeDocument/2006/relationships/hyperlink" Target="https://www.youtube.com/watch?v=k91ejc3G1YM" TargetMode="External"/><Relationship Id="rId2" Type="http://schemas.openxmlformats.org/officeDocument/2006/relationships/hyperlink" Target="https://www.youtube.com/watch?v=LsA4vIX_3UY&amp;t=1s" TargetMode="External"/><Relationship Id="rId1" Type="http://schemas.openxmlformats.org/officeDocument/2006/relationships/hyperlink" Target="https://youtu.be/IyWlcES85Zw?si=BgDwnLyaWthuKevk&amp;t=151" TargetMode="External"/><Relationship Id="rId6" Type="http://schemas.openxmlformats.org/officeDocument/2006/relationships/hyperlink" Target="https://www.youtube.com/shorts/ZtYTjfxXgsE" TargetMode="External"/><Relationship Id="rId11" Type="http://schemas.openxmlformats.org/officeDocument/2006/relationships/hyperlink" Target="https://aka.ms/the-story-of-vs-code" TargetMode="External"/><Relationship Id="rId5" Type="http://schemas.openxmlformats.org/officeDocument/2006/relationships/hyperlink" Target="https://www.youtube.com/shorts/Ad_Inw701vM" TargetMode="External"/><Relationship Id="rId10" Type="http://schemas.openxmlformats.org/officeDocument/2006/relationships/hyperlink" Target="https://www.youtube.com/watch?v=yuBX0hOuOfw&amp;list=PLj6YeMhvp2S6Y6E-ThuD3eZEPS1kyXQwm&amp;index=1" TargetMode="External"/><Relationship Id="rId4" Type="http://schemas.openxmlformats.org/officeDocument/2006/relationships/hyperlink" Target="https://www.youtube.com/watch?v=YpgA1hJsNF8" TargetMode="External"/><Relationship Id="rId9" Type="http://schemas.openxmlformats.org/officeDocument/2006/relationships/hyperlink" Target="https://www.youtube.com/watch?v=7uyRMACA_p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4FA9-98F2-485A-82C7-7245247EB629}">
  <sheetPr>
    <pageSetUpPr fitToPage="1"/>
  </sheetPr>
  <dimension ref="A1:K100"/>
  <sheetViews>
    <sheetView zoomScale="70" zoomScaleNormal="70" workbookViewId="0">
      <selection sqref="A1:XFD1048576"/>
    </sheetView>
  </sheetViews>
  <sheetFormatPr defaultColWidth="9.140625" defaultRowHeight="16.5"/>
  <cols>
    <col min="1" max="1" width="20.140625" style="5" customWidth="1"/>
    <col min="2" max="2" width="19.7109375" style="5" customWidth="1"/>
    <col min="3" max="3" width="23.42578125" style="5" customWidth="1"/>
    <col min="4" max="4" width="22.7109375" style="5" customWidth="1"/>
    <col min="5" max="5" width="15.28515625" style="5" customWidth="1"/>
    <col min="6" max="6" width="19.42578125" style="5" customWidth="1"/>
    <col min="7" max="7" width="44.5703125" style="5" customWidth="1"/>
    <col min="8" max="8" width="32.5703125" style="5" customWidth="1"/>
    <col min="9" max="9" width="27.7109375" style="5" customWidth="1"/>
    <col min="10" max="10" width="31.5703125" style="5" customWidth="1"/>
    <col min="11" max="11" width="26.140625" style="5" customWidth="1"/>
    <col min="12" max="16384" width="9.140625" style="5"/>
  </cols>
  <sheetData>
    <row r="1" spans="1:11" ht="45" customHeight="1">
      <c r="A1" s="34" t="s">
        <v>0</v>
      </c>
      <c r="B1" s="35"/>
      <c r="C1" s="35"/>
      <c r="D1" s="35"/>
      <c r="E1" s="35"/>
      <c r="F1" s="35"/>
      <c r="G1" s="2" t="s">
        <v>1</v>
      </c>
      <c r="H1" s="3"/>
      <c r="I1" s="3"/>
      <c r="J1" s="4" t="s">
        <v>2</v>
      </c>
      <c r="K1" s="4">
        <f>SUM(C4:C100)</f>
        <v>0.19791666666666607</v>
      </c>
    </row>
    <row r="2" spans="1:11" ht="45" customHeight="1"/>
    <row r="3" spans="1:11" ht="50.1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</row>
    <row r="4" spans="1:11" ht="30" customHeight="1">
      <c r="A4" s="7">
        <v>0.32291666666666669</v>
      </c>
      <c r="B4" s="7">
        <v>0.33333333333333331</v>
      </c>
      <c r="C4" s="8">
        <f t="shared" ref="C4:C13" si="0">IF(ISBLANK(A4), "", B4-A4)</f>
        <v>1.041666666666663E-2</v>
      </c>
      <c r="D4" s="9" t="s">
        <v>14</v>
      </c>
      <c r="E4" s="9">
        <v>100</v>
      </c>
      <c r="F4" s="9" t="s">
        <v>15</v>
      </c>
      <c r="G4" s="9" t="s">
        <v>16</v>
      </c>
      <c r="H4" s="9"/>
      <c r="I4" s="9"/>
      <c r="J4" s="9"/>
      <c r="K4" s="9"/>
    </row>
    <row r="5" spans="1:11" ht="30" customHeight="1">
      <c r="A5" s="7">
        <v>0.33333333333333331</v>
      </c>
      <c r="B5" s="7">
        <v>0.35416666666666669</v>
      </c>
      <c r="C5" s="8">
        <f t="shared" si="0"/>
        <v>2.083333333333337E-2</v>
      </c>
      <c r="D5" s="9" t="s">
        <v>17</v>
      </c>
      <c r="E5" s="9">
        <v>101</v>
      </c>
      <c r="F5" s="9" t="s">
        <v>18</v>
      </c>
      <c r="G5" s="9" t="s">
        <v>19</v>
      </c>
      <c r="H5" s="9" t="s">
        <v>20</v>
      </c>
      <c r="I5" s="10" t="s">
        <v>21</v>
      </c>
      <c r="J5" s="9" t="s">
        <v>22</v>
      </c>
      <c r="K5" s="9" t="s">
        <v>23</v>
      </c>
    </row>
    <row r="6" spans="1:11" ht="30" customHeight="1">
      <c r="A6" s="7">
        <v>0.375</v>
      </c>
      <c r="B6" s="7">
        <v>0.39583333333333298</v>
      </c>
      <c r="C6" s="8">
        <f t="shared" si="0"/>
        <v>2.0833333333332982E-2</v>
      </c>
      <c r="D6" s="9" t="s">
        <v>24</v>
      </c>
      <c r="E6" s="9">
        <v>101</v>
      </c>
      <c r="F6" s="9" t="s">
        <v>18</v>
      </c>
      <c r="G6" s="9" t="s">
        <v>19</v>
      </c>
      <c r="H6" s="9" t="s">
        <v>20</v>
      </c>
      <c r="I6" s="10" t="s">
        <v>21</v>
      </c>
      <c r="J6" s="9" t="s">
        <v>22</v>
      </c>
      <c r="K6" s="9" t="s">
        <v>23</v>
      </c>
    </row>
    <row r="7" spans="1:11" ht="30" customHeight="1">
      <c r="A7" s="7">
        <v>0.41666666666666702</v>
      </c>
      <c r="B7" s="7">
        <v>0.4375</v>
      </c>
      <c r="C7" s="8">
        <f t="shared" si="0"/>
        <v>2.0833333333332982E-2</v>
      </c>
      <c r="D7" s="9" t="s">
        <v>25</v>
      </c>
      <c r="E7" s="9">
        <v>101</v>
      </c>
      <c r="F7" s="9" t="s">
        <v>18</v>
      </c>
      <c r="G7" s="9" t="s">
        <v>19</v>
      </c>
      <c r="H7" s="9" t="s">
        <v>20</v>
      </c>
      <c r="I7" s="10" t="s">
        <v>21</v>
      </c>
      <c r="J7" s="9" t="s">
        <v>22</v>
      </c>
      <c r="K7" s="9" t="s">
        <v>23</v>
      </c>
    </row>
    <row r="8" spans="1:11" ht="30" customHeight="1">
      <c r="A8" s="7">
        <v>0.45833333333333298</v>
      </c>
      <c r="B8" s="7">
        <v>0.47916666666666702</v>
      </c>
      <c r="C8" s="8">
        <f t="shared" si="0"/>
        <v>2.0833333333334036E-2</v>
      </c>
      <c r="D8" s="9" t="s">
        <v>26</v>
      </c>
      <c r="E8" s="9">
        <v>101</v>
      </c>
      <c r="F8" s="9" t="s">
        <v>18</v>
      </c>
      <c r="G8" s="9" t="s">
        <v>19</v>
      </c>
      <c r="H8" s="9" t="s">
        <v>20</v>
      </c>
      <c r="I8" s="10" t="s">
        <v>21</v>
      </c>
      <c r="J8" s="9" t="s">
        <v>22</v>
      </c>
      <c r="K8" s="9" t="s">
        <v>23</v>
      </c>
    </row>
    <row r="9" spans="1:11" ht="30" customHeight="1">
      <c r="A9" s="7">
        <v>0.5</v>
      </c>
      <c r="B9" s="7">
        <v>0.52083333333333304</v>
      </c>
      <c r="C9" s="8">
        <f t="shared" si="0"/>
        <v>2.0833333333333037E-2</v>
      </c>
      <c r="D9" s="9" t="s">
        <v>27</v>
      </c>
      <c r="E9" s="9">
        <v>101</v>
      </c>
      <c r="F9" s="9" t="s">
        <v>18</v>
      </c>
      <c r="G9" s="9" t="s">
        <v>19</v>
      </c>
      <c r="H9" s="9" t="s">
        <v>20</v>
      </c>
      <c r="I9" s="10" t="s">
        <v>21</v>
      </c>
      <c r="J9" s="9" t="s">
        <v>22</v>
      </c>
      <c r="K9" s="9" t="s">
        <v>23</v>
      </c>
    </row>
    <row r="10" spans="1:11" ht="30" customHeight="1">
      <c r="A10" s="7">
        <v>0.54166666666666696</v>
      </c>
      <c r="B10" s="7">
        <v>0.5625</v>
      </c>
      <c r="C10" s="8">
        <f t="shared" si="0"/>
        <v>2.0833333333333037E-2</v>
      </c>
      <c r="D10" s="9" t="s">
        <v>28</v>
      </c>
      <c r="E10" s="9">
        <v>101</v>
      </c>
      <c r="F10" s="9" t="s">
        <v>18</v>
      </c>
      <c r="G10" s="9" t="s">
        <v>19</v>
      </c>
      <c r="H10" s="9" t="s">
        <v>20</v>
      </c>
      <c r="I10" s="10" t="s">
        <v>21</v>
      </c>
      <c r="J10" s="9" t="s">
        <v>22</v>
      </c>
      <c r="K10" s="9" t="s">
        <v>23</v>
      </c>
    </row>
    <row r="11" spans="1:11" ht="30" customHeight="1">
      <c r="A11" s="7">
        <v>0.58333333333333304</v>
      </c>
      <c r="B11" s="7">
        <v>0.60416666666666696</v>
      </c>
      <c r="C11" s="8">
        <f t="shared" si="0"/>
        <v>2.0833333333333925E-2</v>
      </c>
      <c r="D11" s="9" t="s">
        <v>29</v>
      </c>
      <c r="E11" s="9">
        <v>101</v>
      </c>
      <c r="F11" s="9" t="s">
        <v>18</v>
      </c>
      <c r="G11" s="9" t="s">
        <v>19</v>
      </c>
      <c r="H11" s="9" t="s">
        <v>20</v>
      </c>
      <c r="I11" s="10" t="s">
        <v>21</v>
      </c>
      <c r="J11" s="9" t="s">
        <v>22</v>
      </c>
      <c r="K11" s="9" t="s">
        <v>23</v>
      </c>
    </row>
    <row r="12" spans="1:11" ht="30" customHeight="1">
      <c r="A12" s="7">
        <v>0.625</v>
      </c>
      <c r="B12" s="7">
        <v>0.64583333333333304</v>
      </c>
      <c r="C12" s="8">
        <f t="shared" si="0"/>
        <v>2.0833333333333037E-2</v>
      </c>
      <c r="D12" s="9" t="s">
        <v>30</v>
      </c>
      <c r="E12" s="9">
        <v>101</v>
      </c>
      <c r="F12" s="9" t="s">
        <v>18</v>
      </c>
      <c r="G12" s="9" t="s">
        <v>19</v>
      </c>
      <c r="H12" s="9" t="s">
        <v>20</v>
      </c>
      <c r="I12" s="10" t="s">
        <v>21</v>
      </c>
      <c r="J12" s="9" t="s">
        <v>22</v>
      </c>
      <c r="K12" s="9" t="s">
        <v>23</v>
      </c>
    </row>
    <row r="13" spans="1:11" ht="30" customHeight="1">
      <c r="A13" s="7">
        <v>0.66666666666666696</v>
      </c>
      <c r="B13" s="7">
        <v>0.6875</v>
      </c>
      <c r="C13" s="8">
        <f t="shared" si="0"/>
        <v>2.0833333333333037E-2</v>
      </c>
      <c r="D13" s="9" t="s">
        <v>31</v>
      </c>
      <c r="E13" s="9">
        <v>101</v>
      </c>
      <c r="F13" s="9" t="s">
        <v>32</v>
      </c>
      <c r="G13" s="9" t="s">
        <v>19</v>
      </c>
      <c r="H13" s="9" t="s">
        <v>20</v>
      </c>
      <c r="I13" s="10" t="s">
        <v>21</v>
      </c>
      <c r="J13" s="9" t="s">
        <v>22</v>
      </c>
      <c r="K13" s="9" t="s">
        <v>23</v>
      </c>
    </row>
    <row r="14" spans="1:11" ht="30" customHeight="1">
      <c r="A14" s="7"/>
      <c r="B14" s="7"/>
      <c r="C14" s="8"/>
      <c r="D14" s="9"/>
      <c r="E14" s="9"/>
      <c r="F14" s="9"/>
      <c r="G14" s="9"/>
      <c r="H14" s="9"/>
      <c r="I14" s="9"/>
      <c r="J14" s="9"/>
      <c r="K14" s="9"/>
    </row>
    <row r="15" spans="1:11" ht="30" customHeight="1">
      <c r="A15" s="7"/>
      <c r="B15" s="7"/>
      <c r="C15" s="8" t="str">
        <f t="shared" ref="C15:C23" si="1">IF(ISBLANK(A15), "", B15-A15)</f>
        <v/>
      </c>
      <c r="D15" s="9"/>
      <c r="E15" s="9"/>
      <c r="F15" s="9"/>
      <c r="G15" s="9"/>
      <c r="H15" s="9"/>
      <c r="I15" s="9"/>
      <c r="J15" s="9"/>
      <c r="K15" s="9"/>
    </row>
    <row r="16" spans="1:11" ht="30" customHeight="1">
      <c r="A16" s="7"/>
      <c r="B16" s="7"/>
      <c r="C16" s="8" t="str">
        <f t="shared" si="1"/>
        <v/>
      </c>
      <c r="D16" s="9"/>
      <c r="E16" s="9"/>
      <c r="F16" s="9"/>
      <c r="G16" s="9"/>
      <c r="H16" s="9"/>
      <c r="I16" s="9"/>
      <c r="J16" s="9"/>
      <c r="K16" s="9"/>
    </row>
    <row r="17" spans="1:11" ht="30" customHeight="1">
      <c r="A17" s="7"/>
      <c r="B17" s="7"/>
      <c r="C17" s="8" t="str">
        <f t="shared" si="1"/>
        <v/>
      </c>
      <c r="D17" s="9"/>
      <c r="E17" s="9"/>
      <c r="F17" s="9"/>
      <c r="G17" s="9"/>
      <c r="H17" s="9"/>
      <c r="I17" s="9"/>
      <c r="J17" s="9"/>
      <c r="K17" s="9"/>
    </row>
    <row r="18" spans="1:11" ht="30" customHeight="1">
      <c r="A18" s="7"/>
      <c r="B18" s="7"/>
      <c r="C18" s="8" t="str">
        <f t="shared" si="1"/>
        <v/>
      </c>
      <c r="D18" s="9"/>
      <c r="E18" s="9"/>
      <c r="F18" s="9"/>
      <c r="G18" s="9"/>
      <c r="H18" s="9"/>
      <c r="I18" s="9"/>
      <c r="J18" s="9"/>
      <c r="K18" s="9"/>
    </row>
    <row r="19" spans="1:11" ht="30" customHeight="1">
      <c r="A19" s="7"/>
      <c r="B19" s="7"/>
      <c r="C19" s="8" t="str">
        <f t="shared" si="1"/>
        <v/>
      </c>
      <c r="D19" s="9"/>
      <c r="E19" s="9"/>
      <c r="F19" s="9"/>
      <c r="G19" s="9"/>
      <c r="H19" s="9"/>
      <c r="I19" s="9"/>
      <c r="J19" s="9"/>
      <c r="K19" s="9"/>
    </row>
    <row r="20" spans="1:11" ht="30" customHeight="1">
      <c r="A20" s="7"/>
      <c r="B20" s="7"/>
      <c r="C20" s="8" t="str">
        <f t="shared" si="1"/>
        <v/>
      </c>
      <c r="D20" s="9"/>
      <c r="E20" s="9"/>
      <c r="F20" s="9"/>
      <c r="G20" s="9"/>
      <c r="H20" s="9"/>
      <c r="I20" s="9"/>
      <c r="J20" s="9"/>
      <c r="K20" s="9"/>
    </row>
    <row r="21" spans="1:11" ht="30" customHeight="1">
      <c r="A21" s="7"/>
      <c r="B21" s="7"/>
      <c r="C21" s="8" t="str">
        <f t="shared" si="1"/>
        <v/>
      </c>
      <c r="D21" s="9"/>
      <c r="E21" s="9"/>
      <c r="F21" s="9"/>
      <c r="G21" s="9"/>
      <c r="H21" s="9"/>
      <c r="I21" s="9"/>
      <c r="J21" s="9"/>
      <c r="K21" s="9"/>
    </row>
    <row r="22" spans="1:11" ht="30" customHeight="1">
      <c r="A22" s="7"/>
      <c r="B22" s="7"/>
      <c r="C22" s="8" t="str">
        <f t="shared" si="1"/>
        <v/>
      </c>
      <c r="D22" s="9"/>
      <c r="E22" s="9"/>
      <c r="F22" s="9"/>
      <c r="G22" s="9"/>
      <c r="H22" s="9"/>
      <c r="I22" s="9"/>
      <c r="J22" s="9"/>
      <c r="K22" s="9"/>
    </row>
    <row r="23" spans="1:11" ht="30" customHeight="1">
      <c r="A23" s="7"/>
      <c r="B23" s="7"/>
      <c r="C23" s="8" t="str">
        <f t="shared" si="1"/>
        <v/>
      </c>
      <c r="D23" s="9"/>
      <c r="E23" s="9"/>
      <c r="F23" s="9"/>
      <c r="G23" s="9"/>
      <c r="H23" s="9"/>
      <c r="I23" s="9"/>
      <c r="J23" s="9"/>
      <c r="K23" s="9"/>
    </row>
    <row r="24" spans="1:11" ht="30" customHeight="1">
      <c r="A24" s="11"/>
      <c r="B24" s="11"/>
      <c r="C24" s="3"/>
      <c r="D24" s="6"/>
      <c r="E24" s="6"/>
      <c r="F24" s="6"/>
      <c r="G24" s="6"/>
      <c r="H24" s="6"/>
      <c r="I24" s="6"/>
      <c r="J24" s="6"/>
      <c r="K24" s="6"/>
    </row>
    <row r="25" spans="1:11" ht="30" customHeight="1">
      <c r="A25" s="11"/>
      <c r="B25" s="11"/>
      <c r="C25" s="3"/>
      <c r="D25" s="6"/>
      <c r="E25" s="6"/>
      <c r="F25" s="6"/>
      <c r="G25" s="6"/>
      <c r="H25" s="6"/>
      <c r="I25" s="6"/>
      <c r="J25" s="6"/>
      <c r="K25" s="6"/>
    </row>
    <row r="26" spans="1:11" ht="30" customHeight="1">
      <c r="A26" s="11"/>
      <c r="B26" s="11"/>
      <c r="C26" s="3"/>
      <c r="D26" s="6"/>
      <c r="E26" s="6"/>
      <c r="F26" s="6"/>
      <c r="G26" s="6"/>
      <c r="H26" s="6"/>
      <c r="I26" s="6"/>
      <c r="J26" s="6"/>
      <c r="K26" s="6"/>
    </row>
    <row r="27" spans="1:11" ht="30" customHeight="1">
      <c r="A27" s="11"/>
      <c r="B27" s="11"/>
      <c r="C27" s="3"/>
      <c r="D27" s="6"/>
      <c r="E27" s="6"/>
      <c r="F27" s="6"/>
      <c r="G27" s="6"/>
      <c r="H27" s="6"/>
      <c r="I27" s="6"/>
      <c r="J27" s="6"/>
      <c r="K27" s="6"/>
    </row>
    <row r="28" spans="1:11" ht="30" customHeight="1">
      <c r="A28" s="11"/>
      <c r="B28" s="11"/>
      <c r="C28" s="3"/>
      <c r="D28" s="6"/>
      <c r="E28" s="6"/>
      <c r="F28" s="6"/>
      <c r="G28" s="6"/>
      <c r="H28" s="6"/>
      <c r="I28" s="6"/>
      <c r="J28" s="6"/>
      <c r="K28" s="6"/>
    </row>
    <row r="29" spans="1:11" ht="30" customHeight="1">
      <c r="A29" s="11"/>
      <c r="B29" s="11"/>
      <c r="C29" s="3"/>
      <c r="D29" s="6"/>
      <c r="E29" s="6"/>
      <c r="F29" s="6"/>
      <c r="G29" s="6"/>
      <c r="H29" s="6"/>
      <c r="I29" s="6"/>
      <c r="J29" s="6"/>
      <c r="K29" s="6"/>
    </row>
    <row r="30" spans="1:11" ht="30" customHeight="1">
      <c r="A30" s="11"/>
      <c r="B30" s="11"/>
      <c r="C30" s="3"/>
      <c r="D30" s="6"/>
      <c r="E30" s="6"/>
      <c r="F30" s="6"/>
      <c r="G30" s="6"/>
      <c r="H30" s="6"/>
      <c r="I30" s="6"/>
      <c r="J30" s="6"/>
      <c r="K30" s="6"/>
    </row>
    <row r="31" spans="1:11" ht="30" customHeight="1">
      <c r="A31" s="11"/>
      <c r="B31" s="11"/>
      <c r="C31" s="3"/>
      <c r="D31" s="6"/>
      <c r="E31" s="6"/>
      <c r="F31" s="6"/>
      <c r="G31" s="6"/>
      <c r="H31" s="6"/>
      <c r="I31" s="6"/>
      <c r="J31" s="6"/>
      <c r="K31" s="6"/>
    </row>
    <row r="32" spans="1:11" ht="30" customHeight="1">
      <c r="A32" s="11"/>
      <c r="B32" s="11"/>
      <c r="C32" s="3"/>
      <c r="D32" s="6"/>
      <c r="E32" s="6"/>
      <c r="F32" s="6"/>
      <c r="G32" s="6"/>
      <c r="H32" s="6"/>
      <c r="I32" s="6"/>
      <c r="J32" s="6"/>
      <c r="K32" s="6"/>
    </row>
    <row r="33" spans="1:11" ht="30" customHeight="1">
      <c r="A33" s="11"/>
      <c r="B33" s="11"/>
      <c r="C33" s="3"/>
      <c r="D33" s="6"/>
      <c r="E33" s="6"/>
      <c r="F33" s="6"/>
      <c r="G33" s="6"/>
      <c r="H33" s="6"/>
      <c r="I33" s="6"/>
      <c r="J33" s="6"/>
      <c r="K33" s="6"/>
    </row>
    <row r="34" spans="1:11" ht="30" customHeight="1">
      <c r="A34" s="11"/>
      <c r="B34" s="11"/>
      <c r="C34" s="3"/>
      <c r="D34" s="6"/>
      <c r="E34" s="6"/>
      <c r="F34" s="6"/>
      <c r="G34" s="6"/>
      <c r="H34" s="6"/>
      <c r="I34" s="6"/>
      <c r="J34" s="6"/>
      <c r="K34" s="6"/>
    </row>
    <row r="35" spans="1:11" ht="30" customHeight="1">
      <c r="A35" s="11"/>
      <c r="B35" s="11"/>
      <c r="C35" s="3"/>
      <c r="D35" s="6"/>
      <c r="E35" s="6"/>
      <c r="F35" s="6"/>
      <c r="G35" s="6"/>
      <c r="H35" s="6"/>
      <c r="I35" s="6"/>
      <c r="J35" s="6"/>
      <c r="K35" s="6"/>
    </row>
    <row r="36" spans="1:11" ht="30" customHeight="1">
      <c r="A36" s="11"/>
      <c r="B36" s="11"/>
      <c r="C36" s="3"/>
      <c r="D36" s="6"/>
      <c r="E36" s="6"/>
      <c r="F36" s="6"/>
      <c r="G36" s="6"/>
      <c r="H36" s="6"/>
      <c r="I36" s="6"/>
      <c r="J36" s="6"/>
      <c r="K36" s="6"/>
    </row>
    <row r="37" spans="1:11" ht="30" customHeight="1">
      <c r="A37" s="11"/>
      <c r="B37" s="11"/>
      <c r="C37" s="3"/>
      <c r="D37" s="6"/>
      <c r="E37" s="6"/>
      <c r="F37" s="6"/>
      <c r="G37" s="6"/>
      <c r="H37" s="6"/>
      <c r="I37" s="6"/>
      <c r="J37" s="6"/>
      <c r="K37" s="6"/>
    </row>
    <row r="38" spans="1:11" ht="30" customHeight="1">
      <c r="A38" s="11"/>
      <c r="B38" s="11"/>
      <c r="C38" s="3"/>
      <c r="D38" s="6"/>
      <c r="E38" s="6"/>
      <c r="F38" s="6"/>
      <c r="G38" s="6"/>
      <c r="H38" s="6"/>
      <c r="I38" s="6"/>
      <c r="J38" s="6"/>
      <c r="K38" s="6"/>
    </row>
    <row r="39" spans="1:11" ht="30" customHeight="1">
      <c r="A39" s="11"/>
      <c r="B39" s="11"/>
      <c r="C39" s="3"/>
      <c r="D39" s="6"/>
      <c r="E39" s="6"/>
      <c r="F39" s="6"/>
      <c r="G39" s="6"/>
      <c r="H39" s="6"/>
      <c r="I39" s="6"/>
      <c r="J39" s="6"/>
      <c r="K39" s="6"/>
    </row>
    <row r="40" spans="1:11" ht="30" customHeight="1">
      <c r="A40" s="11"/>
      <c r="B40" s="11"/>
      <c r="C40" s="3"/>
      <c r="D40" s="6"/>
      <c r="E40" s="6"/>
      <c r="F40" s="6"/>
      <c r="G40" s="6"/>
      <c r="H40" s="6"/>
      <c r="I40" s="6"/>
      <c r="J40" s="6"/>
      <c r="K40" s="6"/>
    </row>
    <row r="41" spans="1:11" ht="30" customHeight="1">
      <c r="A41" s="11"/>
      <c r="B41" s="11"/>
      <c r="C41" s="3"/>
      <c r="D41" s="6"/>
      <c r="E41" s="6"/>
      <c r="F41" s="6"/>
      <c r="G41" s="6"/>
      <c r="H41" s="6"/>
      <c r="I41" s="6"/>
      <c r="J41" s="6"/>
      <c r="K41" s="6"/>
    </row>
    <row r="42" spans="1:11" ht="30" customHeight="1">
      <c r="A42" s="11"/>
      <c r="B42" s="11"/>
      <c r="C42" s="3"/>
      <c r="D42" s="6"/>
      <c r="E42" s="6"/>
      <c r="F42" s="6"/>
      <c r="G42" s="6"/>
      <c r="H42" s="6"/>
      <c r="I42" s="6"/>
      <c r="J42" s="6"/>
      <c r="K42" s="6"/>
    </row>
    <row r="43" spans="1:11" ht="30" customHeight="1">
      <c r="A43" s="11"/>
      <c r="B43" s="11"/>
      <c r="C43" s="3"/>
      <c r="D43" s="6"/>
      <c r="E43" s="6"/>
      <c r="F43" s="6"/>
      <c r="G43" s="6"/>
      <c r="H43" s="6"/>
      <c r="I43" s="6"/>
      <c r="J43" s="6"/>
      <c r="K43" s="6"/>
    </row>
    <row r="44" spans="1:11" ht="30" customHeight="1">
      <c r="A44" s="11"/>
      <c r="B44" s="11"/>
      <c r="C44" s="3"/>
      <c r="D44" s="6"/>
      <c r="E44" s="6"/>
      <c r="F44" s="6"/>
      <c r="G44" s="6"/>
      <c r="H44" s="6"/>
      <c r="I44" s="6"/>
      <c r="J44" s="6"/>
      <c r="K44" s="6"/>
    </row>
    <row r="45" spans="1:11" ht="30" customHeight="1">
      <c r="A45" s="11"/>
      <c r="B45" s="11"/>
      <c r="C45" s="3"/>
      <c r="D45" s="6"/>
      <c r="E45" s="6"/>
      <c r="F45" s="6"/>
      <c r="G45" s="6"/>
      <c r="H45" s="6"/>
      <c r="I45" s="6"/>
      <c r="J45" s="6"/>
      <c r="K45" s="6"/>
    </row>
    <row r="46" spans="1:11" ht="30" customHeight="1">
      <c r="A46" s="11"/>
      <c r="B46" s="11"/>
      <c r="C46" s="3"/>
      <c r="D46" s="6"/>
      <c r="E46" s="6"/>
      <c r="F46" s="6"/>
      <c r="G46" s="6"/>
      <c r="H46" s="6"/>
      <c r="I46" s="6"/>
      <c r="J46" s="6"/>
      <c r="K46" s="6"/>
    </row>
    <row r="47" spans="1:11" ht="30" customHeight="1">
      <c r="A47" s="11"/>
      <c r="B47" s="11"/>
      <c r="C47" s="3"/>
      <c r="D47" s="6"/>
      <c r="E47" s="6"/>
      <c r="F47" s="6"/>
      <c r="G47" s="6"/>
      <c r="H47" s="6"/>
      <c r="I47" s="6"/>
      <c r="J47" s="6"/>
      <c r="K47" s="6"/>
    </row>
    <row r="48" spans="1:11" ht="30" customHeight="1">
      <c r="A48" s="11"/>
      <c r="B48" s="11"/>
      <c r="C48" s="3"/>
      <c r="D48" s="6"/>
      <c r="E48" s="6"/>
      <c r="F48" s="6"/>
      <c r="G48" s="6"/>
      <c r="H48" s="6"/>
      <c r="I48" s="6"/>
      <c r="J48" s="6"/>
      <c r="K48" s="6"/>
    </row>
    <row r="49" spans="1:11" ht="30" customHeight="1">
      <c r="A49" s="11"/>
      <c r="B49" s="11"/>
      <c r="C49" s="3"/>
      <c r="D49" s="6"/>
      <c r="E49" s="6"/>
      <c r="F49" s="6"/>
      <c r="G49" s="6"/>
      <c r="H49" s="6"/>
      <c r="I49" s="6"/>
      <c r="J49" s="6"/>
      <c r="K49" s="6"/>
    </row>
    <row r="50" spans="1:11" ht="30" customHeight="1">
      <c r="A50" s="11"/>
      <c r="B50" s="11"/>
      <c r="C50" s="3"/>
      <c r="D50" s="6"/>
      <c r="E50" s="6"/>
      <c r="F50" s="6"/>
      <c r="G50" s="6"/>
      <c r="H50" s="6"/>
      <c r="I50" s="6"/>
      <c r="J50" s="6"/>
      <c r="K50" s="6"/>
    </row>
    <row r="51" spans="1:11" ht="30" customHeight="1">
      <c r="A51" s="12"/>
      <c r="B51" s="12"/>
      <c r="C51" s="13"/>
    </row>
    <row r="52" spans="1:11" ht="30" customHeight="1">
      <c r="A52" s="12"/>
      <c r="B52" s="12"/>
      <c r="C52" s="13"/>
    </row>
    <row r="53" spans="1:11" ht="30" customHeight="1">
      <c r="A53" s="12"/>
      <c r="B53" s="12"/>
      <c r="C53" s="13"/>
    </row>
    <row r="54" spans="1:11" ht="30" customHeight="1">
      <c r="A54" s="12"/>
      <c r="B54" s="12"/>
      <c r="C54" s="13"/>
    </row>
    <row r="55" spans="1:11" ht="30" customHeight="1">
      <c r="A55" s="12"/>
      <c r="B55" s="12"/>
      <c r="C55" s="13"/>
    </row>
    <row r="56" spans="1:11" ht="30" customHeight="1">
      <c r="A56" s="12"/>
      <c r="B56" s="12"/>
      <c r="C56" s="13"/>
    </row>
    <row r="57" spans="1:11" ht="30" customHeight="1">
      <c r="A57" s="12"/>
      <c r="B57" s="12"/>
      <c r="C57" s="13"/>
    </row>
    <row r="58" spans="1:11" ht="30" customHeight="1">
      <c r="A58" s="12"/>
      <c r="B58" s="12"/>
      <c r="C58" s="13"/>
    </row>
    <row r="59" spans="1:11" ht="30" customHeight="1">
      <c r="A59" s="12"/>
      <c r="B59" s="12"/>
      <c r="C59" s="13"/>
    </row>
    <row r="60" spans="1:11" ht="30" customHeight="1">
      <c r="A60" s="12"/>
      <c r="B60" s="12"/>
      <c r="C60" s="13"/>
    </row>
    <row r="61" spans="1:11" ht="30" customHeight="1">
      <c r="A61" s="12"/>
      <c r="B61" s="12"/>
      <c r="C61" s="13"/>
    </row>
    <row r="62" spans="1:11" ht="30" customHeight="1">
      <c r="A62" s="12"/>
      <c r="B62" s="12"/>
      <c r="C62" s="13"/>
    </row>
    <row r="63" spans="1:11" ht="30" customHeight="1">
      <c r="A63" s="12"/>
      <c r="B63" s="12"/>
      <c r="C63" s="13"/>
    </row>
    <row r="64" spans="1:11" ht="30" customHeight="1">
      <c r="A64" s="12"/>
      <c r="B64" s="12"/>
      <c r="C64" s="13"/>
    </row>
    <row r="65" spans="1:3" ht="30" customHeight="1">
      <c r="A65" s="12"/>
      <c r="B65" s="12"/>
      <c r="C65" s="13"/>
    </row>
    <row r="66" spans="1:3" ht="30" customHeight="1">
      <c r="A66" s="12"/>
      <c r="B66" s="12"/>
      <c r="C66" s="13"/>
    </row>
    <row r="67" spans="1:3" ht="30" customHeight="1">
      <c r="A67" s="12"/>
      <c r="B67" s="12"/>
      <c r="C67" s="13"/>
    </row>
    <row r="68" spans="1:3" ht="30" customHeight="1">
      <c r="A68" s="12"/>
      <c r="B68" s="12"/>
      <c r="C68" s="13"/>
    </row>
    <row r="69" spans="1:3" ht="30" customHeight="1">
      <c r="A69" s="12"/>
      <c r="B69" s="12"/>
      <c r="C69" s="13"/>
    </row>
    <row r="70" spans="1:3" ht="30" customHeight="1">
      <c r="A70" s="12"/>
      <c r="B70" s="12"/>
      <c r="C70" s="13"/>
    </row>
    <row r="71" spans="1:3" ht="30" customHeight="1">
      <c r="A71" s="12"/>
      <c r="B71" s="12"/>
      <c r="C71" s="13"/>
    </row>
    <row r="72" spans="1:3" ht="30" customHeight="1">
      <c r="A72" s="12"/>
      <c r="B72" s="12"/>
      <c r="C72" s="13"/>
    </row>
    <row r="73" spans="1:3" ht="30" customHeight="1">
      <c r="A73" s="12"/>
      <c r="B73" s="12"/>
      <c r="C73" s="13"/>
    </row>
    <row r="74" spans="1:3" ht="30" customHeight="1">
      <c r="A74" s="12"/>
      <c r="B74" s="12"/>
      <c r="C74" s="13"/>
    </row>
    <row r="75" spans="1:3" ht="30" customHeight="1">
      <c r="A75" s="12"/>
      <c r="B75" s="12"/>
      <c r="C75" s="13"/>
    </row>
    <row r="76" spans="1:3" ht="30" customHeight="1">
      <c r="A76" s="12"/>
      <c r="B76" s="12"/>
      <c r="C76" s="13"/>
    </row>
    <row r="77" spans="1:3" ht="30" customHeight="1">
      <c r="A77" s="12"/>
      <c r="B77" s="12"/>
      <c r="C77" s="13"/>
    </row>
    <row r="78" spans="1:3" ht="30" customHeight="1">
      <c r="A78" s="12"/>
      <c r="B78" s="12"/>
      <c r="C78" s="13"/>
    </row>
    <row r="79" spans="1:3" ht="30" customHeight="1">
      <c r="A79" s="12"/>
      <c r="B79" s="12"/>
      <c r="C79" s="13"/>
    </row>
    <row r="80" spans="1:3" ht="30" customHeight="1">
      <c r="A80" s="12"/>
      <c r="B80" s="12"/>
      <c r="C80" s="13"/>
    </row>
    <row r="81" spans="1:3" ht="30" customHeight="1">
      <c r="A81" s="12"/>
      <c r="B81" s="12"/>
      <c r="C81" s="13"/>
    </row>
    <row r="82" spans="1:3" ht="30" customHeight="1">
      <c r="A82" s="12"/>
      <c r="B82" s="12"/>
      <c r="C82" s="13"/>
    </row>
    <row r="83" spans="1:3" ht="30" customHeight="1">
      <c r="A83" s="12"/>
      <c r="B83" s="12"/>
      <c r="C83" s="13"/>
    </row>
    <row r="84" spans="1:3" ht="30" customHeight="1">
      <c r="A84" s="12"/>
      <c r="B84" s="12"/>
      <c r="C84" s="13"/>
    </row>
    <row r="85" spans="1:3" ht="30" customHeight="1">
      <c r="A85" s="12"/>
      <c r="B85" s="12"/>
      <c r="C85" s="13"/>
    </row>
    <row r="86" spans="1:3" ht="30" customHeight="1">
      <c r="A86" s="12"/>
      <c r="B86" s="12"/>
      <c r="C86" s="13"/>
    </row>
    <row r="87" spans="1:3" ht="30" customHeight="1">
      <c r="A87" s="12"/>
      <c r="B87" s="12"/>
      <c r="C87" s="13"/>
    </row>
    <row r="88" spans="1:3" ht="30" customHeight="1">
      <c r="A88" s="12"/>
      <c r="B88" s="12"/>
      <c r="C88" s="13"/>
    </row>
    <row r="89" spans="1:3" ht="30" customHeight="1">
      <c r="A89" s="12"/>
      <c r="B89" s="12"/>
      <c r="C89" s="13"/>
    </row>
    <row r="90" spans="1:3" ht="30" customHeight="1">
      <c r="A90" s="12"/>
      <c r="B90" s="12"/>
      <c r="C90" s="13"/>
    </row>
    <row r="91" spans="1:3" ht="30" customHeight="1">
      <c r="A91" s="12"/>
      <c r="B91" s="12"/>
      <c r="C91" s="13"/>
    </row>
    <row r="92" spans="1:3" ht="30" customHeight="1">
      <c r="A92" s="12"/>
      <c r="B92" s="12"/>
      <c r="C92" s="13"/>
    </row>
    <row r="93" spans="1:3" ht="30" customHeight="1">
      <c r="A93" s="12"/>
      <c r="B93" s="12"/>
      <c r="C93" s="13"/>
    </row>
    <row r="94" spans="1:3" ht="30" customHeight="1">
      <c r="A94" s="12"/>
      <c r="B94" s="12"/>
      <c r="C94" s="13"/>
    </row>
    <row r="95" spans="1:3" ht="30" customHeight="1">
      <c r="A95" s="12"/>
      <c r="B95" s="12"/>
      <c r="C95" s="13"/>
    </row>
    <row r="96" spans="1:3" ht="30" customHeight="1">
      <c r="A96" s="12"/>
      <c r="B96" s="12"/>
      <c r="C96" s="13"/>
    </row>
    <row r="97" spans="1:3" ht="30" customHeight="1">
      <c r="A97" s="12"/>
      <c r="B97" s="12"/>
      <c r="C97" s="13"/>
    </row>
    <row r="98" spans="1:3" ht="30" customHeight="1">
      <c r="A98" s="12"/>
      <c r="B98" s="12"/>
      <c r="C98" s="13"/>
    </row>
    <row r="99" spans="1:3" ht="30" customHeight="1">
      <c r="A99" s="12"/>
      <c r="B99" s="12"/>
      <c r="C99" s="13"/>
    </row>
    <row r="100" spans="1:3" ht="30" customHeight="1">
      <c r="A100" s="12"/>
      <c r="B100" s="12"/>
      <c r="C100" s="13"/>
    </row>
  </sheetData>
  <mergeCells count="1">
    <mergeCell ref="A1:F1"/>
  </mergeCells>
  <conditionalFormatting sqref="A4:K23">
    <cfRule type="expression" dxfId="120" priority="1">
      <formula>$D4="Host Transition"</formula>
    </cfRule>
    <cfRule type="expression" dxfId="119" priority="2">
      <formula>$D4="Hybrid"</formula>
    </cfRule>
    <cfRule type="expression" dxfId="118" priority="3">
      <formula>$D4="In Studio"</formula>
    </cfRule>
    <cfRule type="expression" dxfId="117" priority="4">
      <formula>$D4="Interstitial Video"</formula>
    </cfRule>
    <cfRule type="expression" dxfId="116" priority="5">
      <formula>$D4="Prerecorded Video"</formula>
    </cfRule>
    <cfRule type="expression" dxfId="115" priority="6">
      <formula>$D4="Slate"</formula>
    </cfRule>
    <cfRule type="expression" dxfId="114" priority="7">
      <formula>$D4="Q&amp;A"</formula>
    </cfRule>
    <cfRule type="expression" dxfId="113" priority="8">
      <formula>$D4="StreamYard Presenter"</formula>
    </cfRule>
    <cfRule type="expression" dxfId="112" priority="9">
      <formula>$D4="TBD"</formula>
    </cfRule>
    <cfRule type="expression" dxfId="111" priority="10">
      <formula>$D4="Teams NDI"</formula>
    </cfRule>
  </conditionalFormatting>
  <dataValidations count="3">
    <dataValidation type="custom" allowBlank="1" showInputMessage="1" showErrorMessage="1" sqref="D24:D100" xr:uid="{1D97DEF8-F04E-4E34-964A-958CAF34094B}">
      <formula1>"Host Transitions,Hybrid,In Studio,Interstitial Video,Prerecorded Video,Q&amp;A,Slate,StreamYard Presenter,TBD,Teams NDI"</formula1>
    </dataValidation>
    <dataValidation type="list" allowBlank="1" showInputMessage="1" showErrorMessage="1" sqref="D4:D23" xr:uid="{35429AA7-7118-459A-AE09-F36A2493ED02}">
      <formula1>"Host Transition,Hybrid,In Studio,Interstitial Video,Prerecorded Video,Q&amp;A,Slate,StreamYard Presenter,TBD,Teams NDI"</formula1>
    </dataValidation>
    <dataValidation type="list" allowBlank="1" showInputMessage="1" showErrorMessage="1" sqref="F4:F100" xr:uid="{5B5F64BC-5149-4861-90BF-ADF77153C9F3}">
      <formula1>"Stage A Hex,Stage A Pill,Stage B,Stage C,Control Room,N/A,Other"</formula1>
    </dataValidation>
  </dataValidations>
  <pageMargins left="0.7" right="0.7" top="0.75" bottom="0.75" header="0.3" footer="0.3"/>
  <pageSetup scale="44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7C88-C2B5-4F23-A690-EA4468187314}">
  <dimension ref="A1:K99"/>
  <sheetViews>
    <sheetView tabSelected="1" zoomScale="55" zoomScaleNormal="55" workbookViewId="0">
      <pane xSplit="1" ySplit="3" topLeftCell="B4" activePane="bottomRight" state="frozen"/>
      <selection pane="bottomRight" activeCell="F20" sqref="F20"/>
      <selection pane="bottomLeft" activeCell="A4" sqref="A4"/>
      <selection pane="topRight" activeCell="B1" sqref="B1"/>
    </sheetView>
  </sheetViews>
  <sheetFormatPr defaultColWidth="9.140625" defaultRowHeight="16.5"/>
  <cols>
    <col min="1" max="1" width="20.140625" style="5" customWidth="1"/>
    <col min="2" max="2" width="19.7109375" style="5" customWidth="1"/>
    <col min="3" max="3" width="23.42578125" style="5" customWidth="1"/>
    <col min="4" max="4" width="22.7109375" style="5" customWidth="1"/>
    <col min="5" max="5" width="15.28515625" style="5" customWidth="1"/>
    <col min="6" max="6" width="19.42578125" style="5" customWidth="1"/>
    <col min="7" max="7" width="44.5703125" style="5" customWidth="1"/>
    <col min="8" max="8" width="42.140625" style="5" customWidth="1"/>
    <col min="9" max="9" width="52" style="5" customWidth="1"/>
    <col min="10" max="10" width="31.5703125" style="5" customWidth="1"/>
    <col min="11" max="11" width="54.5703125" style="5" customWidth="1"/>
    <col min="12" max="16384" width="9.140625" style="5"/>
  </cols>
  <sheetData>
    <row r="1" spans="1:11" ht="45" customHeight="1">
      <c r="A1" s="34" t="s">
        <v>0</v>
      </c>
      <c r="B1" s="35"/>
      <c r="C1" s="35"/>
      <c r="D1" s="35"/>
      <c r="E1" s="35"/>
      <c r="F1" s="35"/>
      <c r="G1" s="17">
        <v>46275</v>
      </c>
      <c r="H1" s="3"/>
      <c r="I1" s="3"/>
      <c r="J1" s="4" t="s">
        <v>2</v>
      </c>
      <c r="K1" s="26">
        <f>SUM(C4:C22)</f>
        <v>9.722222222222221E-2</v>
      </c>
    </row>
    <row r="2" spans="1:11" ht="45" customHeight="1">
      <c r="A2" s="20" t="s">
        <v>33</v>
      </c>
      <c r="B2" s="20"/>
      <c r="C2" s="20"/>
      <c r="H2" s="21" t="s">
        <v>34</v>
      </c>
    </row>
    <row r="3" spans="1:11" ht="50.1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</row>
    <row r="4" spans="1:11" ht="30" customHeight="1">
      <c r="A4" s="7">
        <v>0.375</v>
      </c>
      <c r="B4" s="7">
        <v>0.37638888888888888</v>
      </c>
      <c r="C4" s="18">
        <f t="shared" ref="C4:C22" si="0">IF(AND(A4&lt;&gt;"",B4&lt;&gt;""),B4-A4,"")</f>
        <v>1.388888888888884E-3</v>
      </c>
      <c r="D4" s="9" t="s">
        <v>24</v>
      </c>
      <c r="E4" s="9"/>
      <c r="F4" s="9" t="s">
        <v>18</v>
      </c>
      <c r="G4" s="9" t="s">
        <v>35</v>
      </c>
      <c r="H4" s="9" t="s">
        <v>36</v>
      </c>
      <c r="I4" s="9"/>
      <c r="J4" s="9"/>
      <c r="K4" s="9"/>
    </row>
    <row r="5" spans="1:11" ht="30" customHeight="1">
      <c r="A5" s="19">
        <f>IF(B4="","",B4)</f>
        <v>0.37638888888888888</v>
      </c>
      <c r="B5" s="7">
        <v>0.37916666666666665</v>
      </c>
      <c r="C5" s="18">
        <f t="shared" si="0"/>
        <v>2.7777777777777679E-3</v>
      </c>
      <c r="D5" s="9" t="s">
        <v>26</v>
      </c>
      <c r="E5" s="9"/>
      <c r="F5" s="9" t="s">
        <v>15</v>
      </c>
      <c r="G5" s="9" t="s">
        <v>37</v>
      </c>
      <c r="H5" s="9" t="s">
        <v>38</v>
      </c>
      <c r="I5" s="10" t="s">
        <v>39</v>
      </c>
      <c r="J5" s="9"/>
      <c r="K5" s="9"/>
    </row>
    <row r="6" spans="1:11" ht="30" customHeight="1">
      <c r="A6" s="19">
        <f t="shared" ref="A6:A20" si="1">IF(B5="","",B5)</f>
        <v>0.37916666666666665</v>
      </c>
      <c r="B6" s="7">
        <v>0.37986111111111109</v>
      </c>
      <c r="C6" s="18">
        <f t="shared" si="0"/>
        <v>6.9444444444444198E-4</v>
      </c>
      <c r="D6" s="9" t="s">
        <v>25</v>
      </c>
      <c r="E6" s="9"/>
      <c r="F6" s="9" t="s">
        <v>15</v>
      </c>
      <c r="G6" s="9" t="s">
        <v>40</v>
      </c>
      <c r="H6" s="9" t="s">
        <v>41</v>
      </c>
      <c r="I6" s="10"/>
      <c r="J6" s="9"/>
      <c r="K6" s="9"/>
    </row>
    <row r="7" spans="1:11" ht="30" customHeight="1">
      <c r="A7" s="19">
        <f t="shared" si="1"/>
        <v>0.37986111111111109</v>
      </c>
      <c r="B7" s="7">
        <v>0.39374999999999999</v>
      </c>
      <c r="C7" s="18">
        <f t="shared" si="0"/>
        <v>1.3888888888888895E-2</v>
      </c>
      <c r="D7" s="9" t="s">
        <v>31</v>
      </c>
      <c r="E7" s="9"/>
      <c r="F7" s="9" t="s">
        <v>15</v>
      </c>
      <c r="G7" s="9" t="s">
        <v>42</v>
      </c>
      <c r="H7" s="9" t="s">
        <v>43</v>
      </c>
      <c r="I7" s="31" t="s">
        <v>44</v>
      </c>
      <c r="J7" s="9"/>
      <c r="K7" s="9"/>
    </row>
    <row r="8" spans="1:11" ht="30" customHeight="1">
      <c r="A8" s="19">
        <f t="shared" si="1"/>
        <v>0.39374999999999999</v>
      </c>
      <c r="B8" s="7">
        <v>0.39444444444444443</v>
      </c>
      <c r="C8" s="18">
        <f t="shared" si="0"/>
        <v>6.9444444444444198E-4</v>
      </c>
      <c r="D8" s="9" t="s">
        <v>25</v>
      </c>
      <c r="E8" s="9"/>
      <c r="F8" s="9" t="s">
        <v>15</v>
      </c>
      <c r="G8" s="9" t="s">
        <v>40</v>
      </c>
      <c r="H8" s="9" t="s">
        <v>41</v>
      </c>
      <c r="I8" s="10"/>
      <c r="J8" s="9"/>
      <c r="K8" s="9"/>
    </row>
    <row r="9" spans="1:11" ht="30" customHeight="1">
      <c r="A9" s="19">
        <f t="shared" si="1"/>
        <v>0.39444444444444443</v>
      </c>
      <c r="B9" s="7">
        <v>0.41319444444444442</v>
      </c>
      <c r="C9" s="18">
        <f t="shared" si="0"/>
        <v>1.8749999999999989E-2</v>
      </c>
      <c r="D9" s="9" t="s">
        <v>24</v>
      </c>
      <c r="E9" s="9"/>
      <c r="F9" s="9" t="s">
        <v>45</v>
      </c>
      <c r="G9" s="9" t="s">
        <v>46</v>
      </c>
      <c r="H9" s="9" t="s">
        <v>47</v>
      </c>
      <c r="I9" s="9" t="s">
        <v>48</v>
      </c>
      <c r="J9" s="9"/>
      <c r="K9" s="9"/>
    </row>
    <row r="10" spans="1:11" ht="30" customHeight="1">
      <c r="A10" s="19">
        <f t="shared" si="1"/>
        <v>0.41319444444444442</v>
      </c>
      <c r="B10" s="7">
        <v>0.41388888888888886</v>
      </c>
      <c r="C10" s="18">
        <f t="shared" si="0"/>
        <v>6.9444444444444198E-4</v>
      </c>
      <c r="D10" s="9" t="s">
        <v>25</v>
      </c>
      <c r="E10" s="9"/>
      <c r="F10" s="9" t="s">
        <v>15</v>
      </c>
      <c r="G10" s="9" t="s">
        <v>40</v>
      </c>
      <c r="H10" s="9" t="s">
        <v>41</v>
      </c>
      <c r="I10" s="10"/>
      <c r="J10" s="9"/>
      <c r="K10" s="9"/>
    </row>
    <row r="11" spans="1:11" ht="30" customHeight="1">
      <c r="A11" s="19">
        <f t="shared" si="1"/>
        <v>0.41388888888888886</v>
      </c>
      <c r="B11" s="7">
        <v>0.4236111111111111</v>
      </c>
      <c r="C11" s="18">
        <f t="shared" si="0"/>
        <v>9.7222222222222432E-3</v>
      </c>
      <c r="D11" s="9" t="s">
        <v>24</v>
      </c>
      <c r="E11" s="9"/>
      <c r="F11" s="9" t="s">
        <v>49</v>
      </c>
      <c r="G11" s="9" t="s">
        <v>50</v>
      </c>
      <c r="H11" s="25" t="s">
        <v>51</v>
      </c>
      <c r="I11" s="10" t="s">
        <v>52</v>
      </c>
      <c r="J11" s="9"/>
      <c r="K11" s="9"/>
    </row>
    <row r="12" spans="1:11" ht="30" customHeight="1">
      <c r="A12" s="19">
        <f t="shared" si="1"/>
        <v>0.4236111111111111</v>
      </c>
      <c r="B12" s="7">
        <v>0.42430555555555555</v>
      </c>
      <c r="C12" s="18">
        <f t="shared" si="0"/>
        <v>6.9444444444444198E-4</v>
      </c>
      <c r="D12" s="9" t="s">
        <v>25</v>
      </c>
      <c r="E12" s="9"/>
      <c r="F12" s="9" t="s">
        <v>15</v>
      </c>
      <c r="G12" s="9" t="s">
        <v>40</v>
      </c>
      <c r="H12" s="9" t="s">
        <v>41</v>
      </c>
      <c r="I12" s="10"/>
      <c r="J12" s="9"/>
      <c r="K12" s="9"/>
    </row>
    <row r="13" spans="1:11" s="24" customFormat="1" ht="30" customHeight="1">
      <c r="A13" s="19">
        <f t="shared" si="1"/>
        <v>0.42430555555555555</v>
      </c>
      <c r="B13" s="7">
        <v>0.42916666666666664</v>
      </c>
      <c r="C13" s="18">
        <f t="shared" si="0"/>
        <v>4.8611111111110938E-3</v>
      </c>
      <c r="D13" s="9" t="s">
        <v>24</v>
      </c>
      <c r="E13" s="9"/>
      <c r="F13" s="9" t="s">
        <v>45</v>
      </c>
      <c r="G13" s="9" t="s">
        <v>53</v>
      </c>
      <c r="H13" s="9" t="s">
        <v>54</v>
      </c>
      <c r="I13" s="10" t="s">
        <v>55</v>
      </c>
      <c r="J13" s="9"/>
      <c r="K13" s="9"/>
    </row>
    <row r="14" spans="1:11" ht="30" customHeight="1">
      <c r="A14" s="19">
        <f t="shared" si="1"/>
        <v>0.42916666666666664</v>
      </c>
      <c r="B14" s="7">
        <v>0.42986111111111114</v>
      </c>
      <c r="C14" s="18">
        <f t="shared" si="0"/>
        <v>6.9444444444449749E-4</v>
      </c>
      <c r="D14" s="9" t="s">
        <v>25</v>
      </c>
      <c r="E14" s="9"/>
      <c r="F14" s="9" t="s">
        <v>15</v>
      </c>
      <c r="G14" s="9" t="s">
        <v>40</v>
      </c>
      <c r="H14" s="9" t="s">
        <v>41</v>
      </c>
      <c r="I14" s="9"/>
      <c r="J14" s="9"/>
      <c r="K14" s="9"/>
    </row>
    <row r="15" spans="1:11" ht="30" customHeight="1">
      <c r="A15" s="19">
        <f t="shared" si="1"/>
        <v>0.42986111111111114</v>
      </c>
      <c r="B15" s="7">
        <v>0.43680555555555556</v>
      </c>
      <c r="C15" s="18">
        <f t="shared" si="0"/>
        <v>6.9444444444444198E-3</v>
      </c>
      <c r="D15" s="9" t="s">
        <v>31</v>
      </c>
      <c r="E15" s="9"/>
      <c r="F15" s="9"/>
      <c r="G15" s="9" t="s">
        <v>56</v>
      </c>
      <c r="H15" s="25" t="s">
        <v>57</v>
      </c>
      <c r="I15" s="9" t="s">
        <v>58</v>
      </c>
      <c r="J15" s="9"/>
      <c r="K15" s="9" t="s">
        <v>59</v>
      </c>
    </row>
    <row r="16" spans="1:11" s="24" customFormat="1" ht="30" customHeight="1">
      <c r="A16" s="19">
        <f t="shared" si="1"/>
        <v>0.43680555555555556</v>
      </c>
      <c r="B16" s="7">
        <v>0.4375</v>
      </c>
      <c r="C16" s="18">
        <f t="shared" si="0"/>
        <v>6.9444444444444198E-4</v>
      </c>
      <c r="D16" s="9" t="s">
        <v>25</v>
      </c>
      <c r="E16" s="9"/>
      <c r="F16" s="9" t="s">
        <v>15</v>
      </c>
      <c r="G16" s="9" t="s">
        <v>40</v>
      </c>
      <c r="H16" s="9" t="s">
        <v>41</v>
      </c>
      <c r="I16" s="9"/>
      <c r="J16" s="9"/>
      <c r="K16" s="9"/>
    </row>
    <row r="17" spans="1:11" s="24" customFormat="1" ht="30" customHeight="1">
      <c r="A17" s="19">
        <f t="shared" si="1"/>
        <v>0.4375</v>
      </c>
      <c r="B17" s="7">
        <v>0.44513888888888886</v>
      </c>
      <c r="C17" s="18">
        <f t="shared" si="0"/>
        <v>7.6388888888888618E-3</v>
      </c>
      <c r="D17" s="9" t="s">
        <v>24</v>
      </c>
      <c r="E17" s="9"/>
      <c r="F17" s="9" t="s">
        <v>45</v>
      </c>
      <c r="G17" s="9" t="s">
        <v>60</v>
      </c>
      <c r="H17" s="25" t="s">
        <v>61</v>
      </c>
      <c r="I17" s="9" t="s">
        <v>62</v>
      </c>
      <c r="J17" s="9"/>
      <c r="K17" s="9"/>
    </row>
    <row r="18" spans="1:11" ht="30" customHeight="1">
      <c r="A18" s="19">
        <f t="shared" si="1"/>
        <v>0.44513888888888886</v>
      </c>
      <c r="B18" s="7">
        <v>0.44583333333333336</v>
      </c>
      <c r="C18" s="18">
        <f t="shared" si="0"/>
        <v>6.9444444444449749E-4</v>
      </c>
      <c r="D18" s="9" t="s">
        <v>25</v>
      </c>
      <c r="E18" s="9"/>
      <c r="F18" s="9" t="s">
        <v>15</v>
      </c>
      <c r="G18" s="9" t="s">
        <v>40</v>
      </c>
      <c r="H18" s="9" t="s">
        <v>41</v>
      </c>
      <c r="I18" s="9"/>
      <c r="J18" s="9"/>
      <c r="K18" s="9"/>
    </row>
    <row r="19" spans="1:11" ht="30" customHeight="1">
      <c r="A19" s="19">
        <f>IF(B18="","",B18)</f>
        <v>0.44583333333333336</v>
      </c>
      <c r="B19" s="7">
        <v>0.45555555555555555</v>
      </c>
      <c r="C19" s="18">
        <f t="shared" si="0"/>
        <v>9.7222222222221877E-3</v>
      </c>
      <c r="D19" s="9" t="s">
        <v>24</v>
      </c>
      <c r="E19" s="9"/>
      <c r="F19" s="9" t="s">
        <v>49</v>
      </c>
      <c r="G19" s="9" t="s">
        <v>63</v>
      </c>
      <c r="H19" s="9" t="s">
        <v>64</v>
      </c>
      <c r="I19" s="9" t="s">
        <v>65</v>
      </c>
      <c r="J19" s="9"/>
      <c r="K19" s="9"/>
    </row>
    <row r="20" spans="1:11" ht="30" customHeight="1">
      <c r="A20" s="19">
        <f t="shared" si="1"/>
        <v>0.45555555555555555</v>
      </c>
      <c r="B20" s="7">
        <v>0.45624999999999999</v>
      </c>
      <c r="C20" s="18">
        <f t="shared" si="0"/>
        <v>6.9444444444444198E-4</v>
      </c>
      <c r="D20" s="9" t="s">
        <v>25</v>
      </c>
      <c r="E20" s="9"/>
      <c r="F20" s="9" t="s">
        <v>15</v>
      </c>
      <c r="G20" s="9" t="s">
        <v>40</v>
      </c>
      <c r="H20" s="9" t="s">
        <v>41</v>
      </c>
      <c r="I20" s="9"/>
      <c r="J20" s="9"/>
      <c r="K20" s="9"/>
    </row>
    <row r="21" spans="1:11" ht="30" customHeight="1">
      <c r="A21" s="7">
        <v>0.45624999999999999</v>
      </c>
      <c r="B21" s="7">
        <v>0.45833333333333331</v>
      </c>
      <c r="C21" s="18">
        <f t="shared" si="0"/>
        <v>2.0833333333333259E-3</v>
      </c>
      <c r="D21" s="9" t="s">
        <v>24</v>
      </c>
      <c r="E21" s="9"/>
      <c r="F21" s="9" t="s">
        <v>32</v>
      </c>
      <c r="G21" s="9" t="s">
        <v>66</v>
      </c>
      <c r="H21" s="9" t="s">
        <v>67</v>
      </c>
      <c r="I21" s="9" t="s">
        <v>68</v>
      </c>
      <c r="J21" s="9"/>
      <c r="K21" s="9"/>
    </row>
    <row r="22" spans="1:11" ht="30" customHeight="1">
      <c r="A22" s="7">
        <v>0.45833333333333331</v>
      </c>
      <c r="B22" s="7">
        <v>0.47222222222222221</v>
      </c>
      <c r="C22" s="18">
        <f t="shared" si="0"/>
        <v>1.3888888888888895E-2</v>
      </c>
      <c r="D22" s="9" t="s">
        <v>17</v>
      </c>
      <c r="E22" s="9"/>
      <c r="F22" s="9" t="s">
        <v>32</v>
      </c>
      <c r="G22" s="9" t="s">
        <v>69</v>
      </c>
      <c r="H22" s="9" t="s">
        <v>70</v>
      </c>
      <c r="I22" s="31" t="s">
        <v>71</v>
      </c>
      <c r="J22" s="9"/>
      <c r="K22" s="9"/>
    </row>
    <row r="23" spans="1:11" ht="30" customHeight="1">
      <c r="A23" s="29">
        <f>B22</f>
        <v>0.47222222222222221</v>
      </c>
      <c r="B23" s="29">
        <v>0.54166666666666663</v>
      </c>
      <c r="C23" s="30">
        <f>IF(AND(A23&lt;&gt;"",B23&lt;&gt;""),B23-A23,"")</f>
        <v>6.944444444444442E-2</v>
      </c>
      <c r="D23" s="31" t="s">
        <v>24</v>
      </c>
      <c r="E23" s="31"/>
      <c r="F23" s="31" t="s">
        <v>32</v>
      </c>
      <c r="G23" s="31" t="s">
        <v>69</v>
      </c>
      <c r="H23" s="31" t="s">
        <v>47</v>
      </c>
      <c r="I23" s="31" t="s">
        <v>48</v>
      </c>
      <c r="J23" s="31"/>
      <c r="K23" s="31"/>
    </row>
    <row r="24" spans="1:11" ht="30" customHeight="1">
      <c r="A24" s="11"/>
      <c r="B24" s="11"/>
      <c r="C24" s="3"/>
      <c r="D24" s="6"/>
      <c r="E24" s="6"/>
      <c r="F24" s="6"/>
      <c r="G24" s="6"/>
      <c r="H24" s="6"/>
      <c r="I24" s="6"/>
      <c r="J24" s="6"/>
      <c r="K24" s="6"/>
    </row>
    <row r="25" spans="1:11" ht="30" customHeight="1">
      <c r="A25" s="11"/>
      <c r="B25" s="11"/>
      <c r="C25" s="3"/>
      <c r="D25" s="6"/>
      <c r="E25" s="6"/>
      <c r="F25" s="6"/>
      <c r="G25" s="6"/>
      <c r="H25" s="6"/>
      <c r="I25" s="6"/>
      <c r="J25" s="6"/>
      <c r="K25" s="6"/>
    </row>
    <row r="26" spans="1:11" ht="30" customHeight="1">
      <c r="A26" s="11"/>
      <c r="B26" s="11"/>
      <c r="C26" s="3"/>
      <c r="D26" s="6"/>
      <c r="E26" s="6"/>
      <c r="F26" s="6"/>
      <c r="G26" s="6"/>
      <c r="H26" s="6"/>
      <c r="I26" s="6"/>
      <c r="J26" s="6"/>
      <c r="K26" s="6"/>
    </row>
    <row r="27" spans="1:11" ht="30" customHeight="1">
      <c r="A27" s="11"/>
      <c r="B27" s="11"/>
      <c r="C27" s="3"/>
      <c r="D27" s="6"/>
      <c r="E27" s="6"/>
      <c r="F27" s="6"/>
      <c r="G27" s="6"/>
      <c r="H27" s="6"/>
      <c r="I27" s="6"/>
      <c r="J27" s="6"/>
      <c r="K27" s="6"/>
    </row>
    <row r="28" spans="1:11" ht="30" customHeight="1">
      <c r="A28" s="11"/>
      <c r="B28" s="11"/>
      <c r="C28" s="3"/>
      <c r="D28" s="6"/>
      <c r="E28" s="6"/>
      <c r="F28" s="6"/>
      <c r="G28" s="6"/>
      <c r="H28" s="6"/>
      <c r="I28" s="6"/>
      <c r="J28" s="6"/>
      <c r="K28" s="6"/>
    </row>
    <row r="29" spans="1:11" ht="30" customHeight="1">
      <c r="A29" s="11"/>
      <c r="B29" s="11"/>
      <c r="C29" s="3"/>
      <c r="D29" s="6"/>
      <c r="E29" s="6"/>
      <c r="F29" s="6"/>
      <c r="G29" s="6"/>
      <c r="H29" s="6"/>
      <c r="I29" s="6"/>
      <c r="J29" s="6"/>
      <c r="K29" s="6"/>
    </row>
    <row r="30" spans="1:11" ht="30" customHeight="1">
      <c r="A30" s="11"/>
      <c r="B30" s="11"/>
      <c r="C30" s="3"/>
      <c r="D30" s="6"/>
      <c r="E30" s="6"/>
      <c r="F30" s="6"/>
      <c r="G30" s="6"/>
      <c r="H30" s="6"/>
      <c r="I30" s="6"/>
      <c r="J30" s="6"/>
      <c r="K30" s="6"/>
    </row>
    <row r="31" spans="1:11" ht="30" customHeight="1">
      <c r="A31" s="11"/>
      <c r="B31" s="11"/>
      <c r="C31" s="3"/>
      <c r="D31" s="6"/>
      <c r="E31" s="6"/>
      <c r="F31" s="6"/>
      <c r="G31" s="6"/>
      <c r="H31" s="6"/>
      <c r="I31" s="6"/>
      <c r="J31" s="6"/>
      <c r="K31" s="6"/>
    </row>
    <row r="32" spans="1:11" ht="30" customHeight="1">
      <c r="A32" s="11"/>
      <c r="B32" s="11"/>
      <c r="C32" s="3"/>
      <c r="D32" s="6"/>
      <c r="E32" s="6"/>
      <c r="F32" s="6"/>
      <c r="G32" s="6"/>
      <c r="H32" s="6"/>
      <c r="I32" s="6"/>
      <c r="J32" s="6"/>
      <c r="K32" s="6"/>
    </row>
    <row r="33" spans="1:11" ht="30" customHeight="1">
      <c r="A33" s="11"/>
      <c r="B33" s="11"/>
      <c r="C33" s="3"/>
      <c r="D33" s="6"/>
      <c r="E33" s="6"/>
      <c r="F33" s="6"/>
      <c r="G33" s="6"/>
      <c r="H33" s="6"/>
      <c r="I33" s="6"/>
      <c r="J33" s="6"/>
      <c r="K33" s="6"/>
    </row>
    <row r="34" spans="1:11" ht="30" customHeight="1">
      <c r="A34" s="11"/>
      <c r="B34" s="11"/>
      <c r="C34" s="3"/>
      <c r="D34" s="6"/>
      <c r="E34" s="6"/>
      <c r="F34" s="6"/>
      <c r="G34" s="6"/>
      <c r="H34" s="6"/>
      <c r="I34" s="6"/>
      <c r="J34" s="6"/>
      <c r="K34" s="6"/>
    </row>
    <row r="35" spans="1:11" ht="30" customHeight="1">
      <c r="A35" s="11"/>
      <c r="B35" s="11"/>
      <c r="C35" s="3"/>
      <c r="D35" s="6"/>
      <c r="E35" s="6"/>
      <c r="F35" s="6"/>
      <c r="G35" s="6"/>
      <c r="H35" s="6"/>
      <c r="I35" s="6"/>
      <c r="J35" s="6"/>
      <c r="K35" s="6"/>
    </row>
    <row r="36" spans="1:11" ht="30" customHeight="1">
      <c r="A36" s="11"/>
      <c r="B36" s="11"/>
      <c r="C36" s="3"/>
      <c r="D36" s="6"/>
      <c r="E36" s="6"/>
      <c r="F36" s="6"/>
      <c r="G36" s="6"/>
      <c r="H36" s="6"/>
      <c r="I36" s="6"/>
      <c r="J36" s="6"/>
      <c r="K36" s="6"/>
    </row>
    <row r="37" spans="1:11" ht="30" customHeight="1">
      <c r="A37" s="11"/>
      <c r="B37" s="11"/>
      <c r="C37" s="3"/>
      <c r="D37" s="6"/>
      <c r="E37" s="6"/>
      <c r="F37" s="6"/>
      <c r="G37" s="6"/>
      <c r="H37" s="6"/>
      <c r="I37" s="6"/>
      <c r="J37" s="6"/>
      <c r="K37" s="6"/>
    </row>
    <row r="38" spans="1:11" ht="30" customHeight="1">
      <c r="A38" s="11"/>
      <c r="B38" s="11"/>
      <c r="C38" s="3"/>
      <c r="D38" s="6"/>
      <c r="E38" s="6"/>
      <c r="F38" s="6"/>
      <c r="G38" s="6"/>
      <c r="H38" s="6"/>
      <c r="I38" s="6"/>
      <c r="J38" s="6"/>
      <c r="K38" s="6"/>
    </row>
    <row r="39" spans="1:11" ht="30" customHeight="1">
      <c r="A39" s="11"/>
      <c r="B39" s="11"/>
      <c r="C39" s="3"/>
      <c r="D39" s="6"/>
      <c r="E39" s="6"/>
      <c r="F39" s="6"/>
      <c r="G39" s="6"/>
      <c r="H39" s="6"/>
      <c r="I39" s="6"/>
      <c r="J39" s="6"/>
      <c r="K39" s="6"/>
    </row>
    <row r="40" spans="1:11" ht="30" customHeight="1">
      <c r="A40" s="11"/>
      <c r="B40" s="11"/>
      <c r="C40" s="3"/>
      <c r="D40" s="6"/>
      <c r="E40" s="6"/>
      <c r="F40" s="6"/>
      <c r="G40" s="6"/>
      <c r="H40" s="6"/>
      <c r="I40" s="6"/>
      <c r="J40" s="6"/>
      <c r="K40" s="6"/>
    </row>
    <row r="41" spans="1:11" ht="30" customHeight="1">
      <c r="A41" s="11"/>
      <c r="B41" s="11"/>
      <c r="C41" s="3"/>
      <c r="D41" s="6"/>
      <c r="E41" s="6"/>
      <c r="F41" s="6"/>
      <c r="G41" s="6"/>
      <c r="H41" s="6"/>
      <c r="I41" s="6"/>
      <c r="J41" s="6"/>
      <c r="K41" s="6"/>
    </row>
    <row r="42" spans="1:11" ht="30" customHeight="1">
      <c r="A42" s="11"/>
      <c r="B42" s="11"/>
      <c r="C42" s="3"/>
      <c r="D42" s="6"/>
      <c r="E42" s="6"/>
      <c r="F42" s="6"/>
      <c r="G42" s="6"/>
      <c r="H42" s="6"/>
      <c r="I42" s="6"/>
      <c r="J42" s="6"/>
      <c r="K42" s="6"/>
    </row>
    <row r="43" spans="1:11" ht="30" customHeight="1">
      <c r="A43" s="11"/>
      <c r="B43" s="11"/>
      <c r="C43" s="3"/>
      <c r="D43" s="6"/>
      <c r="E43" s="6"/>
      <c r="F43" s="6"/>
      <c r="G43" s="6"/>
      <c r="H43" s="6"/>
      <c r="I43" s="6"/>
      <c r="J43" s="6"/>
      <c r="K43" s="6"/>
    </row>
    <row r="44" spans="1:11" ht="30" customHeight="1">
      <c r="A44" s="11"/>
      <c r="B44" s="11"/>
      <c r="C44" s="3"/>
      <c r="D44" s="6"/>
      <c r="E44" s="6"/>
      <c r="F44" s="6"/>
      <c r="G44" s="6"/>
      <c r="H44" s="6"/>
      <c r="I44" s="6"/>
      <c r="J44" s="6"/>
      <c r="K44" s="6"/>
    </row>
    <row r="45" spans="1:11" ht="30" customHeight="1">
      <c r="A45" s="11"/>
      <c r="B45" s="11"/>
      <c r="C45" s="3"/>
      <c r="D45" s="6"/>
      <c r="E45" s="6"/>
      <c r="F45" s="6"/>
      <c r="G45" s="6"/>
      <c r="H45" s="6"/>
      <c r="I45" s="6"/>
      <c r="J45" s="6"/>
      <c r="K45" s="6"/>
    </row>
    <row r="46" spans="1:11" ht="30" customHeight="1">
      <c r="A46" s="11"/>
      <c r="B46" s="11"/>
      <c r="C46" s="3"/>
      <c r="D46" s="6"/>
      <c r="E46" s="6"/>
      <c r="F46" s="6"/>
      <c r="G46" s="6"/>
      <c r="H46" s="6"/>
      <c r="I46" s="6"/>
      <c r="J46" s="6"/>
      <c r="K46" s="6"/>
    </row>
    <row r="47" spans="1:11" ht="30" customHeight="1">
      <c r="A47" s="11"/>
      <c r="B47" s="11"/>
      <c r="C47" s="3"/>
      <c r="D47" s="6"/>
      <c r="E47" s="6"/>
      <c r="F47" s="6"/>
      <c r="G47" s="6"/>
      <c r="H47" s="6"/>
      <c r="I47" s="6"/>
      <c r="J47" s="6"/>
      <c r="K47" s="6"/>
    </row>
    <row r="48" spans="1:11" ht="30" customHeight="1">
      <c r="A48" s="11"/>
      <c r="B48" s="11"/>
      <c r="C48" s="3"/>
      <c r="D48" s="6"/>
      <c r="E48" s="6"/>
      <c r="F48" s="6"/>
      <c r="G48" s="6"/>
      <c r="H48" s="6"/>
      <c r="I48" s="6"/>
      <c r="J48" s="6"/>
      <c r="K48" s="6"/>
    </row>
    <row r="49" spans="1:11" ht="30" customHeight="1">
      <c r="A49" s="11"/>
      <c r="B49" s="11"/>
      <c r="C49" s="3"/>
      <c r="D49" s="6"/>
      <c r="E49" s="6"/>
      <c r="F49" s="6"/>
      <c r="G49" s="6"/>
      <c r="H49" s="6"/>
      <c r="I49" s="6"/>
      <c r="J49" s="6"/>
      <c r="K49" s="6"/>
    </row>
    <row r="50" spans="1:11" ht="30" customHeight="1">
      <c r="A50" s="12"/>
      <c r="B50" s="12"/>
      <c r="C50" s="13"/>
    </row>
    <row r="51" spans="1:11" ht="30" customHeight="1">
      <c r="A51" s="12"/>
      <c r="B51" s="12"/>
      <c r="C51" s="13"/>
    </row>
    <row r="52" spans="1:11" ht="30" customHeight="1">
      <c r="A52" s="12"/>
      <c r="B52" s="12"/>
      <c r="C52" s="13"/>
    </row>
    <row r="53" spans="1:11" ht="30" customHeight="1">
      <c r="A53" s="12"/>
      <c r="B53" s="12"/>
      <c r="C53" s="13"/>
    </row>
    <row r="54" spans="1:11" ht="30" customHeight="1">
      <c r="A54" s="12"/>
      <c r="B54" s="12"/>
      <c r="C54" s="13"/>
    </row>
    <row r="55" spans="1:11" ht="30" customHeight="1">
      <c r="A55" s="12"/>
      <c r="B55" s="12"/>
      <c r="C55" s="13"/>
    </row>
    <row r="56" spans="1:11" ht="30" customHeight="1">
      <c r="A56" s="12"/>
      <c r="B56" s="12"/>
      <c r="C56" s="13"/>
    </row>
    <row r="57" spans="1:11" ht="30" customHeight="1">
      <c r="A57" s="12"/>
      <c r="B57" s="12"/>
      <c r="C57" s="13"/>
    </row>
    <row r="58" spans="1:11" ht="30" customHeight="1">
      <c r="A58" s="12"/>
      <c r="B58" s="12"/>
      <c r="C58" s="13"/>
    </row>
    <row r="59" spans="1:11" ht="30" customHeight="1">
      <c r="A59" s="12"/>
      <c r="B59" s="12"/>
      <c r="C59" s="13"/>
    </row>
    <row r="60" spans="1:11" ht="30" customHeight="1">
      <c r="A60" s="12"/>
      <c r="B60" s="12"/>
      <c r="C60" s="13"/>
    </row>
    <row r="61" spans="1:11" ht="30" customHeight="1">
      <c r="A61" s="12"/>
      <c r="B61" s="12"/>
      <c r="C61" s="13"/>
    </row>
    <row r="62" spans="1:11" ht="30" customHeight="1">
      <c r="A62" s="12"/>
      <c r="B62" s="12"/>
      <c r="C62" s="13"/>
    </row>
    <row r="63" spans="1:11" ht="30" customHeight="1">
      <c r="A63" s="12"/>
      <c r="B63" s="12"/>
      <c r="C63" s="13"/>
    </row>
    <row r="64" spans="1:11" ht="30" customHeight="1">
      <c r="A64" s="12"/>
      <c r="B64" s="12"/>
      <c r="C64" s="13"/>
    </row>
    <row r="65" spans="1:3" ht="30" customHeight="1">
      <c r="A65" s="12"/>
      <c r="B65" s="12"/>
      <c r="C65" s="13"/>
    </row>
    <row r="66" spans="1:3" ht="30" customHeight="1">
      <c r="A66" s="12"/>
      <c r="B66" s="12"/>
      <c r="C66" s="13"/>
    </row>
    <row r="67" spans="1:3" ht="30" customHeight="1">
      <c r="A67" s="12"/>
      <c r="B67" s="12"/>
      <c r="C67" s="13"/>
    </row>
    <row r="68" spans="1:3" ht="30" customHeight="1">
      <c r="A68" s="12"/>
      <c r="B68" s="12"/>
      <c r="C68" s="13"/>
    </row>
    <row r="69" spans="1:3" ht="30" customHeight="1">
      <c r="A69" s="12"/>
      <c r="B69" s="12"/>
      <c r="C69" s="13"/>
    </row>
    <row r="70" spans="1:3" ht="30" customHeight="1">
      <c r="A70" s="12"/>
      <c r="B70" s="12"/>
      <c r="C70" s="13"/>
    </row>
    <row r="71" spans="1:3" ht="30" customHeight="1">
      <c r="A71" s="12"/>
      <c r="B71" s="12"/>
      <c r="C71" s="13"/>
    </row>
    <row r="72" spans="1:3" ht="30" customHeight="1">
      <c r="A72" s="12"/>
      <c r="B72" s="12"/>
      <c r="C72" s="13"/>
    </row>
    <row r="73" spans="1:3" ht="30" customHeight="1">
      <c r="A73" s="12"/>
      <c r="B73" s="12"/>
      <c r="C73" s="13"/>
    </row>
    <row r="74" spans="1:3" ht="30" customHeight="1">
      <c r="A74" s="12"/>
      <c r="B74" s="12"/>
      <c r="C74" s="13"/>
    </row>
    <row r="75" spans="1:3" ht="30" customHeight="1">
      <c r="A75" s="12"/>
      <c r="B75" s="12"/>
      <c r="C75" s="13"/>
    </row>
    <row r="76" spans="1:3" ht="30" customHeight="1">
      <c r="A76" s="12"/>
      <c r="B76" s="12"/>
      <c r="C76" s="13"/>
    </row>
    <row r="77" spans="1:3" ht="30" customHeight="1">
      <c r="A77" s="12"/>
      <c r="B77" s="12"/>
      <c r="C77" s="13"/>
    </row>
    <row r="78" spans="1:3" ht="30" customHeight="1">
      <c r="A78" s="12"/>
      <c r="B78" s="12"/>
      <c r="C78" s="13"/>
    </row>
    <row r="79" spans="1:3" ht="30" customHeight="1">
      <c r="A79" s="12"/>
      <c r="B79" s="12"/>
      <c r="C79" s="13"/>
    </row>
    <row r="80" spans="1:3" ht="30" customHeight="1">
      <c r="A80" s="12"/>
      <c r="B80" s="12"/>
      <c r="C80" s="13"/>
    </row>
    <row r="81" spans="1:3" ht="30" customHeight="1">
      <c r="A81" s="12"/>
      <c r="B81" s="12"/>
      <c r="C81" s="13"/>
    </row>
    <row r="82" spans="1:3" ht="30" customHeight="1">
      <c r="A82" s="12"/>
      <c r="B82" s="12"/>
      <c r="C82" s="13"/>
    </row>
    <row r="83" spans="1:3" ht="30" customHeight="1">
      <c r="A83" s="12"/>
      <c r="B83" s="12"/>
      <c r="C83" s="13"/>
    </row>
    <row r="84" spans="1:3" ht="30" customHeight="1">
      <c r="A84" s="12"/>
      <c r="B84" s="12"/>
      <c r="C84" s="13"/>
    </row>
    <row r="85" spans="1:3" ht="30" customHeight="1">
      <c r="A85" s="12"/>
      <c r="B85" s="12"/>
      <c r="C85" s="13"/>
    </row>
    <row r="86" spans="1:3" ht="30" customHeight="1">
      <c r="A86" s="12"/>
      <c r="B86" s="12"/>
      <c r="C86" s="13"/>
    </row>
    <row r="87" spans="1:3" ht="30" customHeight="1">
      <c r="A87" s="12"/>
      <c r="B87" s="12"/>
      <c r="C87" s="13"/>
    </row>
    <row r="88" spans="1:3" ht="30" customHeight="1">
      <c r="A88" s="12"/>
      <c r="B88" s="12"/>
      <c r="C88" s="13"/>
    </row>
    <row r="89" spans="1:3" ht="30" customHeight="1">
      <c r="A89" s="12"/>
      <c r="B89" s="12"/>
      <c r="C89" s="13"/>
    </row>
    <row r="90" spans="1:3" ht="30" customHeight="1">
      <c r="A90" s="12"/>
      <c r="B90" s="12"/>
      <c r="C90" s="13"/>
    </row>
    <row r="91" spans="1:3" ht="30" customHeight="1">
      <c r="A91" s="12"/>
      <c r="B91" s="12"/>
      <c r="C91" s="13"/>
    </row>
    <row r="92" spans="1:3" ht="30" customHeight="1">
      <c r="A92" s="12"/>
      <c r="B92" s="12"/>
      <c r="C92" s="13"/>
    </row>
    <row r="93" spans="1:3" ht="30" customHeight="1">
      <c r="A93" s="12"/>
      <c r="B93" s="12"/>
      <c r="C93" s="13"/>
    </row>
    <row r="94" spans="1:3" ht="30" customHeight="1">
      <c r="A94" s="12"/>
      <c r="B94" s="12"/>
      <c r="C94" s="13"/>
    </row>
    <row r="95" spans="1:3" ht="30" customHeight="1">
      <c r="A95" s="12"/>
      <c r="B95" s="12"/>
      <c r="C95" s="13"/>
    </row>
    <row r="96" spans="1:3">
      <c r="A96" s="12"/>
      <c r="B96" s="12"/>
      <c r="C96" s="13"/>
    </row>
    <row r="97" spans="1:3">
      <c r="A97" s="12"/>
      <c r="B97" s="12"/>
      <c r="C97" s="13"/>
    </row>
    <row r="98" spans="1:3">
      <c r="A98" s="12"/>
      <c r="B98" s="12"/>
      <c r="C98" s="13"/>
    </row>
    <row r="99" spans="1:3">
      <c r="A99" s="12"/>
      <c r="B99" s="12"/>
      <c r="C99" s="13"/>
    </row>
  </sheetData>
  <mergeCells count="1">
    <mergeCell ref="A1:F1"/>
  </mergeCells>
  <conditionalFormatting sqref="A4:K22">
    <cfRule type="expression" dxfId="97" priority="21">
      <formula>$D4="Host Transition"</formula>
    </cfRule>
    <cfRule type="expression" dxfId="96" priority="22">
      <formula>$D4="Hybrid"</formula>
    </cfRule>
    <cfRule type="expression" dxfId="95" priority="23">
      <formula>$D4="In Studio"</formula>
    </cfRule>
    <cfRule type="expression" dxfId="94" priority="24">
      <formula>$D4="Interstitial Video"</formula>
    </cfRule>
    <cfRule type="expression" dxfId="93" priority="25">
      <formula>$D4="Prerecorded Video"</formula>
    </cfRule>
    <cfRule type="expression" dxfId="92" priority="26">
      <formula>$D4="Slate"</formula>
    </cfRule>
    <cfRule type="expression" dxfId="91" priority="27">
      <formula>$D4="Q&amp;A"</formula>
    </cfRule>
    <cfRule type="expression" dxfId="90" priority="28">
      <formula>$D4="StreamYard Presenter"</formula>
    </cfRule>
    <cfRule type="expression" dxfId="89" priority="29">
      <formula>$D4="TBD"</formula>
    </cfRule>
    <cfRule type="expression" dxfId="88" priority="30">
      <formula>$D4="Teams NDI"</formula>
    </cfRule>
  </conditionalFormatting>
  <conditionalFormatting sqref="A23:K23">
    <cfRule type="expression" dxfId="87" priority="1">
      <formula>$D23="Host Transition"</formula>
    </cfRule>
    <cfRule type="expression" dxfId="86" priority="2">
      <formula>$D23="Hybrid"</formula>
    </cfRule>
    <cfRule type="expression" dxfId="85" priority="3">
      <formula>$D23="In Studio"</formula>
    </cfRule>
    <cfRule type="expression" dxfId="84" priority="4">
      <formula>$D23="Interstitial Video"</formula>
    </cfRule>
    <cfRule type="expression" dxfId="83" priority="5">
      <formula>$D23="Prerecorded Video"</formula>
    </cfRule>
    <cfRule type="expression" dxfId="82" priority="6">
      <formula>$D23="Slate"</formula>
    </cfRule>
    <cfRule type="expression" dxfId="81" priority="7">
      <formula>$D23="Q&amp;A"</formula>
    </cfRule>
    <cfRule type="expression" dxfId="80" priority="8">
      <formula>$D23="StreamYard Presenter"</formula>
    </cfRule>
    <cfRule type="expression" dxfId="79" priority="9">
      <formula>$D23="TBD"</formula>
    </cfRule>
    <cfRule type="expression" dxfId="78" priority="10">
      <formula>$D23="Teams NDI"</formula>
    </cfRule>
  </conditionalFormatting>
  <conditionalFormatting sqref="H2">
    <cfRule type="expression" dxfId="77" priority="11">
      <formula>$D2="Host Transition"</formula>
    </cfRule>
    <cfRule type="expression" dxfId="76" priority="12">
      <formula>$D2="Hybrid"</formula>
    </cfRule>
    <cfRule type="expression" dxfId="75" priority="13">
      <formula>$D2="In Studio"</formula>
    </cfRule>
    <cfRule type="expression" dxfId="74" priority="14">
      <formula>$D2="Interstitial Video"</formula>
    </cfRule>
    <cfRule type="expression" dxfId="73" priority="15">
      <formula>$D2="Prerecorded Video"</formula>
    </cfRule>
    <cfRule type="expression" dxfId="72" priority="16">
      <formula>$D2="Slate"</formula>
    </cfRule>
    <cfRule type="expression" dxfId="71" priority="17">
      <formula>$D2="Q&amp;A"</formula>
    </cfRule>
    <cfRule type="expression" dxfId="70" priority="18">
      <formula>$D2="StreamYard Presenter"</formula>
    </cfRule>
    <cfRule type="expression" dxfId="69" priority="19">
      <formula>$D2="TBD"</formula>
    </cfRule>
    <cfRule type="expression" dxfId="68" priority="20">
      <formula>$D2="Teams NDI"</formula>
    </cfRule>
  </conditionalFormatting>
  <dataValidations count="3">
    <dataValidation type="custom" allowBlank="1" showInputMessage="1" showErrorMessage="1" sqref="D24:D99" xr:uid="{2DC7E4DB-2671-42EC-A479-192BB65A9B0E}">
      <formula1>"Host Transitions,Hybrid,In Studio,Interstitial Video,Prerecorded Video,Q&amp;A,Slate,StreamYard Presenter,TBD,Teams NDI"</formula1>
    </dataValidation>
    <dataValidation type="list" allowBlank="1" showInputMessage="1" showErrorMessage="1" sqref="D4:D23" xr:uid="{55F5C92D-F2EA-4BB2-98CF-042F6FB16522}">
      <formula1>"Host Transition,Hybrid,In Studio,Interstitial Video,Prerecorded Video,Q&amp;A,Slate,StreamYard Presenter,TBD,Teams NDI"</formula1>
    </dataValidation>
    <dataValidation type="list" allowBlank="1" showInputMessage="1" showErrorMessage="1" sqref="F4:F99" xr:uid="{B95A5EB5-F812-479B-935D-6EC317FA7AB3}">
      <formula1>"Stage A Hex,Stage A Pill,Stage B,Stage C,Control Room,N/A,Other"</formula1>
    </dataValidation>
  </dataValidations>
  <hyperlinks>
    <hyperlink ref="I22" r:id="rId1" xr:uid="{454EE007-F1CA-4B54-BE4C-CCC95D491E83}"/>
    <hyperlink ref="I7" r:id="rId2" xr:uid="{4734A23D-CEBF-4054-B130-C2E06134A780}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F1F6-6FDA-44C4-A668-FBE4AF676145}">
  <dimension ref="A1:H13"/>
  <sheetViews>
    <sheetView workbookViewId="0">
      <selection activeCell="B14" sqref="B14"/>
    </sheetView>
  </sheetViews>
  <sheetFormatPr defaultRowHeight="15"/>
  <cols>
    <col min="1" max="1" width="24.5703125" bestFit="1" customWidth="1"/>
    <col min="2" max="2" width="32.85546875" customWidth="1"/>
    <col min="3" max="4" width="11" customWidth="1"/>
    <col min="5" max="5" width="17.7109375" bestFit="1" customWidth="1"/>
    <col min="6" max="7" width="11" customWidth="1"/>
    <col min="8" max="8" width="12.28515625" bestFit="1" customWidth="1"/>
  </cols>
  <sheetData>
    <row r="1" spans="1:8" ht="81" customHeight="1">
      <c r="A1" s="36" t="s">
        <v>72</v>
      </c>
      <c r="B1" s="36"/>
      <c r="C1" s="32"/>
      <c r="D1" s="32"/>
      <c r="E1" s="32"/>
      <c r="F1" s="32"/>
      <c r="G1" s="32"/>
      <c r="H1" s="32"/>
    </row>
    <row r="2" spans="1:8" ht="43.5" customHeight="1">
      <c r="A2" s="37" t="s">
        <v>73</v>
      </c>
      <c r="B2" s="37"/>
      <c r="C2" s="33"/>
      <c r="D2" s="33"/>
      <c r="E2" s="33"/>
      <c r="F2" s="33"/>
      <c r="G2" s="33"/>
      <c r="H2" s="33"/>
    </row>
    <row r="4" spans="1:8">
      <c r="A4" t="s">
        <v>74</v>
      </c>
      <c r="B4" t="s">
        <v>75</v>
      </c>
      <c r="C4" t="s">
        <v>76</v>
      </c>
      <c r="D4" t="s">
        <v>77</v>
      </c>
      <c r="E4" t="s">
        <v>78</v>
      </c>
      <c r="F4" t="s">
        <v>79</v>
      </c>
      <c r="G4" t="s">
        <v>13</v>
      </c>
      <c r="H4" t="s">
        <v>80</v>
      </c>
    </row>
    <row r="5" spans="1:8">
      <c r="A5" t="s">
        <v>81</v>
      </c>
      <c r="B5" t="str">
        <f>_xlfn.TEXTAFTER(Table6[[#This Row],[Streaming endpoint]], " ", -1)</f>
        <v>YouTube</v>
      </c>
    </row>
    <row r="6" spans="1:8">
      <c r="A6" t="s">
        <v>82</v>
      </c>
      <c r="B6" t="str">
        <f>_xlfn.TEXTAFTER(Table6[[#This Row],[Streaming endpoint]], " ", -1)</f>
        <v>X</v>
      </c>
    </row>
    <row r="7" spans="1:8">
      <c r="A7" t="s">
        <v>83</v>
      </c>
      <c r="B7" t="str">
        <f>_xlfn.TEXTAFTER(Table6[[#This Row],[Streaming endpoint]], " ", -1)</f>
        <v>LinkedIn</v>
      </c>
    </row>
    <row r="8" spans="1:8">
      <c r="A8" t="s">
        <v>84</v>
      </c>
      <c r="B8" t="str">
        <f>_xlfn.TEXTAFTER(Table6[[#This Row],[Streaming endpoint]], " ", -1)</f>
        <v>TikTok</v>
      </c>
    </row>
    <row r="9" spans="1:8">
      <c r="A9" t="s">
        <v>85</v>
      </c>
      <c r="B9" t="str">
        <f>_xlfn.TEXTAFTER(Table6[[#This Row],[Streaming endpoint]], " ", -1)</f>
        <v>X</v>
      </c>
    </row>
    <row r="10" spans="1:8">
      <c r="A10" t="s">
        <v>86</v>
      </c>
      <c r="B10" t="str">
        <f>_xlfn.TEXTAFTER(Table6[[#This Row],[Streaming endpoint]], " ", -1)</f>
        <v>TikTok</v>
      </c>
    </row>
    <row r="11" spans="1:8">
      <c r="A11" t="s">
        <v>87</v>
      </c>
      <c r="B11" t="str">
        <f>_xlfn.TEXTAFTER(Table6[[#This Row],[Streaming endpoint]], " ", -1)</f>
        <v>X</v>
      </c>
    </row>
    <row r="12" spans="1:8">
      <c r="A12" t="s">
        <v>88</v>
      </c>
      <c r="B12" t="str">
        <f>_xlfn.TEXTAFTER(Table6[[#This Row],[Streaming endpoint]], " ", -1)</f>
        <v>LinkedIn</v>
      </c>
    </row>
    <row r="13" spans="1:8">
      <c r="A13" t="s">
        <v>89</v>
      </c>
      <c r="B13" t="str">
        <f>_xlfn.TEXTAFTER(Table6[[#This Row],[Streaming endpoint]], " ", -1)</f>
        <v>TikTok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67D1-E336-4C70-9F74-3B4D13F3CCFA}">
  <dimension ref="A4:E37"/>
  <sheetViews>
    <sheetView topLeftCell="A5" zoomScaleNormal="100" workbookViewId="0"/>
  </sheetViews>
  <sheetFormatPr defaultRowHeight="15"/>
  <cols>
    <col min="2" max="2" width="45.28515625" customWidth="1"/>
    <col min="3" max="3" width="55.28515625" bestFit="1" customWidth="1"/>
    <col min="4" max="4" width="31.42578125" bestFit="1" customWidth="1"/>
  </cols>
  <sheetData>
    <row r="4" spans="1:4" ht="24">
      <c r="B4" s="22" t="s">
        <v>90</v>
      </c>
    </row>
    <row r="5" spans="1:4">
      <c r="A5">
        <v>1</v>
      </c>
      <c r="B5" t="s">
        <v>91</v>
      </c>
      <c r="C5" s="23" t="s">
        <v>92</v>
      </c>
    </row>
    <row r="6" spans="1:4">
      <c r="A6">
        <v>2</v>
      </c>
      <c r="B6" t="s">
        <v>93</v>
      </c>
      <c r="C6" s="23" t="s">
        <v>94</v>
      </c>
      <c r="D6" t="s">
        <v>95</v>
      </c>
    </row>
    <row r="7" spans="1:4">
      <c r="A7">
        <v>3</v>
      </c>
      <c r="B7" t="s">
        <v>96</v>
      </c>
      <c r="C7" s="23" t="s">
        <v>97</v>
      </c>
    </row>
    <row r="8" spans="1:4">
      <c r="A8">
        <v>4</v>
      </c>
      <c r="B8" t="s">
        <v>98</v>
      </c>
      <c r="C8" s="23" t="s">
        <v>99</v>
      </c>
    </row>
    <row r="9" spans="1:4">
      <c r="A9">
        <v>5</v>
      </c>
      <c r="B9" t="s">
        <v>100</v>
      </c>
      <c r="C9" s="23" t="s">
        <v>101</v>
      </c>
    </row>
    <row r="10" spans="1:4">
      <c r="A10">
        <v>6</v>
      </c>
      <c r="B10" t="s">
        <v>102</v>
      </c>
      <c r="C10" s="23" t="s">
        <v>103</v>
      </c>
    </row>
    <row r="11" spans="1:4">
      <c r="A11">
        <v>7</v>
      </c>
      <c r="B11" t="s">
        <v>104</v>
      </c>
      <c r="C11" s="23" t="s">
        <v>105</v>
      </c>
    </row>
    <row r="12" spans="1:4">
      <c r="A12">
        <v>8</v>
      </c>
      <c r="B12" t="s">
        <v>106</v>
      </c>
      <c r="C12" s="23" t="s">
        <v>107</v>
      </c>
    </row>
    <row r="13" spans="1:4">
      <c r="A13">
        <v>9</v>
      </c>
      <c r="B13" t="s">
        <v>108</v>
      </c>
      <c r="C13" s="23" t="s">
        <v>109</v>
      </c>
    </row>
    <row r="14" spans="1:4">
      <c r="A14" t="s">
        <v>110</v>
      </c>
      <c r="B14" t="s">
        <v>111</v>
      </c>
      <c r="C14" s="23" t="s">
        <v>112</v>
      </c>
    </row>
    <row r="15" spans="1:4">
      <c r="B15" t="s">
        <v>113</v>
      </c>
      <c r="C15" s="23" t="s">
        <v>114</v>
      </c>
    </row>
    <row r="23" spans="2:5" ht="24">
      <c r="B23" s="22" t="s">
        <v>115</v>
      </c>
      <c r="D23" t="s">
        <v>116</v>
      </c>
    </row>
    <row r="24" spans="2:5">
      <c r="B24" s="27" t="s">
        <v>117</v>
      </c>
      <c r="C24" s="27" t="s">
        <v>118</v>
      </c>
      <c r="D24" t="s">
        <v>119</v>
      </c>
      <c r="E24" t="s">
        <v>120</v>
      </c>
    </row>
    <row r="26" spans="2:5">
      <c r="B26" t="s">
        <v>121</v>
      </c>
      <c r="C26" t="s">
        <v>118</v>
      </c>
      <c r="D26" t="s">
        <v>122</v>
      </c>
    </row>
    <row r="27" spans="2:5">
      <c r="C27" t="s">
        <v>123</v>
      </c>
      <c r="D27" t="s">
        <v>124</v>
      </c>
    </row>
    <row r="28" spans="2:5">
      <c r="C28" t="s">
        <v>125</v>
      </c>
      <c r="D28" t="s">
        <v>126</v>
      </c>
    </row>
    <row r="30" spans="2:5">
      <c r="B30" t="s">
        <v>127</v>
      </c>
      <c r="C30" t="s">
        <v>118</v>
      </c>
      <c r="D30" t="s">
        <v>122</v>
      </c>
    </row>
    <row r="31" spans="2:5">
      <c r="C31" t="s">
        <v>128</v>
      </c>
      <c r="D31" t="s">
        <v>129</v>
      </c>
    </row>
    <row r="33" spans="2:4">
      <c r="B33" s="28" t="s">
        <v>130</v>
      </c>
      <c r="C33" s="28" t="s">
        <v>131</v>
      </c>
    </row>
    <row r="35" spans="2:4">
      <c r="B35" t="s">
        <v>132</v>
      </c>
      <c r="C35" t="s">
        <v>123</v>
      </c>
      <c r="D35" t="s">
        <v>124</v>
      </c>
    </row>
    <row r="36" spans="2:4">
      <c r="C36" t="s">
        <v>128</v>
      </c>
      <c r="D36" t="s">
        <v>126</v>
      </c>
    </row>
    <row r="37" spans="2:4">
      <c r="C37" t="s">
        <v>118</v>
      </c>
      <c r="D37" t="s">
        <v>122</v>
      </c>
    </row>
  </sheetData>
  <hyperlinks>
    <hyperlink ref="C6" r:id="rId1" xr:uid="{5FF3CDB7-463F-46DD-80E5-62373B715273}"/>
    <hyperlink ref="C5" r:id="rId2" xr:uid="{865457B2-820B-4D86-8A3E-7EBEC71FE3BB}"/>
    <hyperlink ref="C12" r:id="rId3" xr:uid="{2AF5D61F-CF0B-4B4B-A075-7E83D3C05E2D}"/>
    <hyperlink ref="C7" r:id="rId4" xr:uid="{F144D8B9-86D5-4083-AA10-261315DF4E71}"/>
    <hyperlink ref="C9" r:id="rId5" xr:uid="{69BD4D38-903D-444A-BFB2-55B178EA51B7}"/>
    <hyperlink ref="C10" r:id="rId6" xr:uid="{48386CFD-F819-4EB9-B9AA-8EC0BF809B4D}"/>
    <hyperlink ref="C11" r:id="rId7" xr:uid="{C27B082D-4DF7-4719-A4CC-BB481E3C9BF6}"/>
    <hyperlink ref="C13" r:id="rId8" xr:uid="{8B720740-87F8-4CA6-B693-AF86D62C45B8}"/>
    <hyperlink ref="C8" r:id="rId9" xr:uid="{63929C96-F789-4AAE-B4F5-E849D56FCF90}"/>
    <hyperlink ref="C14" r:id="rId10" xr:uid="{C95F781B-7430-4601-A10A-15DD55C63AD4}"/>
    <hyperlink ref="C15" r:id="rId11" xr:uid="{85056208-A547-45CD-A55A-EDA3970992E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EC62-72E0-4C39-BB63-44DB64DADDED}">
  <dimension ref="A1:O100"/>
  <sheetViews>
    <sheetView workbookViewId="0">
      <selection activeCell="B4" sqref="B4"/>
    </sheetView>
  </sheetViews>
  <sheetFormatPr defaultRowHeight="15"/>
  <cols>
    <col min="1" max="1" width="15.42578125" customWidth="1"/>
    <col min="2" max="2" width="53.7109375" customWidth="1"/>
    <col min="3" max="3" width="25.28515625" customWidth="1"/>
    <col min="4" max="5" width="22.42578125" customWidth="1"/>
    <col min="6" max="9" width="20.7109375" customWidth="1"/>
    <col min="10" max="11" width="19.42578125" customWidth="1"/>
    <col min="12" max="12" width="14" customWidth="1"/>
    <col min="13" max="13" width="15.7109375" customWidth="1"/>
    <col min="14" max="14" width="22.28515625" customWidth="1"/>
  </cols>
  <sheetData>
    <row r="1" spans="1:15" ht="45" customHeight="1">
      <c r="A1" s="39" t="s">
        <v>133</v>
      </c>
      <c r="B1" s="39"/>
      <c r="C1" s="39"/>
      <c r="D1" s="39"/>
      <c r="E1" s="39"/>
    </row>
    <row r="2" spans="1:15" ht="45" customHeight="1">
      <c r="A2" s="38" t="s">
        <v>134</v>
      </c>
      <c r="B2" s="38"/>
      <c r="C2" s="35"/>
      <c r="D2" s="35"/>
      <c r="E2" s="35"/>
    </row>
    <row r="3" spans="1:15" ht="50.1" customHeight="1">
      <c r="A3" s="1" t="s">
        <v>135</v>
      </c>
      <c r="B3" s="1" t="s">
        <v>136</v>
      </c>
      <c r="C3" s="1" t="s">
        <v>137</v>
      </c>
      <c r="D3" s="1" t="s">
        <v>138</v>
      </c>
      <c r="E3" s="1" t="s">
        <v>139</v>
      </c>
      <c r="F3" s="1" t="s">
        <v>140</v>
      </c>
      <c r="G3" s="1" t="s">
        <v>141</v>
      </c>
      <c r="H3" s="1" t="s">
        <v>142</v>
      </c>
      <c r="I3" s="1" t="s">
        <v>143</v>
      </c>
      <c r="J3" s="1" t="s">
        <v>144</v>
      </c>
      <c r="K3" s="1" t="s">
        <v>145</v>
      </c>
      <c r="L3" s="1" t="s">
        <v>146</v>
      </c>
      <c r="M3" s="1" t="s">
        <v>147</v>
      </c>
      <c r="N3" s="1" t="s">
        <v>148</v>
      </c>
      <c r="O3" s="1" t="s">
        <v>13</v>
      </c>
    </row>
    <row r="4" spans="1:15" ht="30" customHeight="1">
      <c r="A4" s="6"/>
      <c r="B4" s="15"/>
      <c r="C4" s="6"/>
      <c r="D4" s="6"/>
      <c r="E4" s="1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30" customHeight="1">
      <c r="A5" s="6"/>
      <c r="B5" s="15"/>
      <c r="C5" s="6"/>
      <c r="D5" s="6"/>
      <c r="E5" s="1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30" customHeight="1">
      <c r="A6" s="6"/>
      <c r="B6" s="15"/>
      <c r="C6" s="6"/>
      <c r="D6" s="6"/>
      <c r="E6" s="1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39.75" customHeight="1">
      <c r="A7" s="6"/>
      <c r="B7" s="15"/>
      <c r="C7" s="6"/>
      <c r="D7" s="6"/>
      <c r="E7" s="1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 customHeight="1">
      <c r="A8" s="6"/>
      <c r="B8" s="6"/>
      <c r="C8" s="6"/>
      <c r="D8" s="6"/>
      <c r="E8" s="1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ht="30" customHeight="1">
      <c r="A9" s="6"/>
      <c r="B9" s="6"/>
      <c r="C9" s="6"/>
      <c r="D9" s="6"/>
      <c r="E9" s="1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30" customHeight="1">
      <c r="A10" s="6"/>
      <c r="B10" s="6"/>
      <c r="C10" s="6"/>
      <c r="D10" s="6"/>
      <c r="E10" s="1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ht="30" customHeight="1">
      <c r="A11" s="6"/>
      <c r="B11" s="6"/>
      <c r="C11" s="6"/>
      <c r="D11" s="6"/>
      <c r="E11" s="1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ht="30" customHeight="1">
      <c r="A12" s="6"/>
      <c r="B12" s="15"/>
      <c r="C12" s="6"/>
      <c r="D12" s="6"/>
      <c r="E12" s="1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30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30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t="3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30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30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3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3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3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3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3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3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30" customHeight="1"/>
    <row r="25" spans="1:15" ht="30" customHeight="1"/>
    <row r="26" spans="1:15" ht="30" customHeight="1"/>
    <row r="27" spans="1:15" ht="30" customHeight="1"/>
    <row r="28" spans="1:15" ht="30" customHeight="1"/>
    <row r="29" spans="1:15" ht="30" customHeight="1"/>
    <row r="30" spans="1:15" ht="30" customHeight="1"/>
    <row r="31" spans="1:15" ht="30" customHeight="1"/>
    <row r="32" spans="1:15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</sheetData>
  <mergeCells count="3">
    <mergeCell ref="A2:B2"/>
    <mergeCell ref="C2:E2"/>
    <mergeCell ref="A1:E1"/>
  </mergeCells>
  <dataValidations count="1">
    <dataValidation type="list" allowBlank="1" showInputMessage="1" showErrorMessage="1" sqref="M4:N23" xr:uid="{BE99CB6F-3740-40FC-A6BB-C69E03F8853E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9960-DEC8-4AA6-91FF-3B3B488A40CA}">
  <dimension ref="A1:Q101"/>
  <sheetViews>
    <sheetView zoomScale="55" zoomScaleNormal="55" workbookViewId="0"/>
  </sheetViews>
  <sheetFormatPr defaultColWidth="9.140625" defaultRowHeight="16.5"/>
  <cols>
    <col min="1" max="1" width="10.28515625" style="5" customWidth="1"/>
    <col min="2" max="2" width="34.5703125" style="5" customWidth="1"/>
    <col min="3" max="5" width="20.5703125" style="5" customWidth="1"/>
    <col min="6" max="9" width="20.7109375" style="5" customWidth="1"/>
    <col min="10" max="11" width="19.42578125" style="5" customWidth="1"/>
    <col min="12" max="12" width="11.42578125" style="5" customWidth="1"/>
    <col min="13" max="13" width="17.5703125" style="5" customWidth="1"/>
    <col min="14" max="14" width="18.7109375" style="5" customWidth="1"/>
    <col min="15" max="15" width="9.140625" style="5"/>
    <col min="16" max="16" width="17.5703125" style="5" customWidth="1"/>
    <col min="17" max="16384" width="9.140625" style="5"/>
  </cols>
  <sheetData>
    <row r="1" spans="1:17" ht="45" customHeight="1">
      <c r="A1" s="14" t="s">
        <v>149</v>
      </c>
      <c r="B1" s="14"/>
      <c r="C1" s="14"/>
    </row>
    <row r="2" spans="1:17" ht="45" customHeight="1">
      <c r="A2" s="38" t="s">
        <v>134</v>
      </c>
      <c r="B2" s="38"/>
      <c r="C2" s="35"/>
      <c r="D2" s="35"/>
      <c r="E2" s="35"/>
    </row>
    <row r="3" spans="1:17" ht="34.5" customHeight="1">
      <c r="A3" s="42" t="s">
        <v>150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</row>
    <row r="4" spans="1:17" ht="50.1" customHeight="1">
      <c r="A4" s="15" t="s">
        <v>135</v>
      </c>
      <c r="B4" s="15" t="s">
        <v>151</v>
      </c>
      <c r="C4" s="15" t="s">
        <v>10</v>
      </c>
      <c r="D4" s="15" t="s">
        <v>152</v>
      </c>
      <c r="E4" s="15" t="s">
        <v>153</v>
      </c>
      <c r="F4" s="15" t="s">
        <v>154</v>
      </c>
      <c r="G4" s="15" t="s">
        <v>155</v>
      </c>
      <c r="H4" s="15" t="s">
        <v>156</v>
      </c>
      <c r="I4" s="15" t="s">
        <v>157</v>
      </c>
      <c r="J4" s="15" t="s">
        <v>158</v>
      </c>
      <c r="K4" s="15" t="s">
        <v>159</v>
      </c>
      <c r="L4" s="15" t="s">
        <v>160</v>
      </c>
      <c r="M4" s="15" t="s">
        <v>161</v>
      </c>
      <c r="N4" s="15" t="s">
        <v>162</v>
      </c>
      <c r="O4" s="15" t="s">
        <v>163</v>
      </c>
      <c r="P4" s="15" t="s">
        <v>164</v>
      </c>
      <c r="Q4" s="15" t="s">
        <v>13</v>
      </c>
    </row>
    <row r="5" spans="1:17" ht="30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7" ht="30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7" ht="30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ht="30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ht="30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7" ht="30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7" ht="30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 ht="30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 ht="30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 ht="30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 ht="30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 ht="30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 ht="30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 ht="30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 ht="30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30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 ht="30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30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1:17" ht="30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spans="1:17" ht="30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 ht="30" customHeight="1"/>
    <row r="26" spans="1:17" ht="34.5" customHeight="1">
      <c r="A26" s="40" t="s">
        <v>165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1:17" ht="50.1" customHeight="1">
      <c r="A27" s="15" t="s">
        <v>135</v>
      </c>
      <c r="B27" s="15" t="s">
        <v>151</v>
      </c>
      <c r="C27" s="15" t="s">
        <v>10</v>
      </c>
      <c r="D27" s="15" t="s">
        <v>152</v>
      </c>
      <c r="E27" s="15" t="s">
        <v>153</v>
      </c>
      <c r="F27" s="15" t="s">
        <v>154</v>
      </c>
      <c r="G27" s="15" t="s">
        <v>155</v>
      </c>
      <c r="H27" s="15" t="s">
        <v>156</v>
      </c>
      <c r="I27" s="15" t="s">
        <v>157</v>
      </c>
      <c r="J27" s="15" t="s">
        <v>158</v>
      </c>
      <c r="K27" s="15" t="s">
        <v>159</v>
      </c>
      <c r="L27" s="15" t="s">
        <v>160</v>
      </c>
      <c r="M27" s="15" t="s">
        <v>161</v>
      </c>
      <c r="N27" s="15" t="s">
        <v>162</v>
      </c>
      <c r="O27" s="15" t="s">
        <v>163</v>
      </c>
      <c r="P27" s="15" t="s">
        <v>164</v>
      </c>
      <c r="Q27" s="15" t="s">
        <v>13</v>
      </c>
    </row>
    <row r="28" spans="1:17" ht="30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spans="1:17" ht="30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 ht="30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spans="1:17" ht="30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 ht="30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ht="30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 ht="30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spans="1:17" ht="30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1:17" ht="30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spans="1:17" ht="30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spans="1:17" ht="30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spans="1:17" ht="30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spans="1:17" ht="30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spans="1:17" ht="30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1:17" ht="30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spans="1:17" ht="30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17" ht="30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17" ht="30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1:17" ht="30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spans="1:17" ht="30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1:17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</sheetData>
  <mergeCells count="4">
    <mergeCell ref="A2:B2"/>
    <mergeCell ref="C2:E2"/>
    <mergeCell ref="A26:Q26"/>
    <mergeCell ref="A3:Q3"/>
  </mergeCells>
  <phoneticPr fontId="1" type="noConversion"/>
  <dataValidations count="1">
    <dataValidation type="list" allowBlank="1" showInputMessage="1" showErrorMessage="1" sqref="L5:L24 L28:L47" xr:uid="{6E75F311-5572-4B44-8F33-B34FFA6679AC}">
      <formula1>"Yes,No"</formula1>
    </dataValidation>
  </dataValidation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0db6105-8b85-4f33-8d1e-c44bf949028e">
      <Terms xmlns="http://schemas.microsoft.com/office/infopath/2007/PartnerControls"/>
    </lcf76f155ced4ddcb4097134ff3c332f>
    <EpisodeDate xmlns="10db6105-8b85-4f33-8d1e-c44bf949028e" xsi:nil="true"/>
    <TaxCatchAll xmlns="230e9df3-be65-4c73-a93b-d1236ebd677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EA3736BAED9C4FB935A16D61D92FAC" ma:contentTypeVersion="26" ma:contentTypeDescription="Create a new document." ma:contentTypeScope="" ma:versionID="d40d75c8a8e886c4fe07184191ca33b5">
  <xsd:schema xmlns:xsd="http://www.w3.org/2001/XMLSchema" xmlns:xs="http://www.w3.org/2001/XMLSchema" xmlns:p="http://schemas.microsoft.com/office/2006/metadata/properties" xmlns:ns1="http://schemas.microsoft.com/sharepoint/v3" xmlns:ns2="10db6105-8b85-4f33-8d1e-c44bf949028e" xmlns:ns3="4482235d-8f7c-48d5-83d1-32c109652729" xmlns:ns4="230e9df3-be65-4c73-a93b-d1236ebd677e" targetNamespace="http://schemas.microsoft.com/office/2006/metadata/properties" ma:root="true" ma:fieldsID="dc78d5583e851a4053a1627c97c6b59d" ns1:_="" ns2:_="" ns3:_="" ns4:_="">
    <xsd:import namespace="http://schemas.microsoft.com/sharepoint/v3"/>
    <xsd:import namespace="10db6105-8b85-4f33-8d1e-c44bf949028e"/>
    <xsd:import namespace="4482235d-8f7c-48d5-83d1-32c109652729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EpisodeDate" minOccurs="0"/>
                <xsd:element ref="ns2:MediaServiceSystemTags" minOccurs="0"/>
                <xsd:element ref="ns2:MediaServiceBillingMetadata" minOccurs="0"/>
                <xsd:element ref="ns2:HasDigitalSignature" minOccurs="0"/>
                <xsd:element ref="ns2:DigitalSignatureProvi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b6105-8b85-4f33-8d1e-c44bf94902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6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pisodeDate" ma:index="28" nillable="true" ma:displayName="Episode Date" ma:format="DateOnly" ma:internalName="EpisodeDate">
      <xsd:simpleType>
        <xsd:restriction base="dms:DateTime"/>
      </xsd:simpleType>
    </xsd:element>
    <xsd:element name="MediaServiceSystemTags" ma:index="2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Text"/>
      </xsd:simpleType>
    </xsd:element>
    <xsd:element name="HasDigitalSignature" ma:index="31" nillable="true" ma:displayName="Signed electronically" ma:internalName="HasDigitalSignature" ma:readOnly="true">
      <xsd:simpleType>
        <xsd:restriction base="dms:Boolean"/>
      </xsd:simpleType>
    </xsd:element>
    <xsd:element name="DigitalSignatureProvider" ma:index="32" nillable="true" ma:displayName="Signature provider" ma:internalName="DigitalSignatureProvider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2235d-8f7c-48d5-83d1-32c10965272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3a1c97b2-2b2c-4f29-a738-1a08e76a4406}" ma:internalName="TaxCatchAll" ma:showField="CatchAllData" ma:web="4482235d-8f7c-48d5-83d1-32c1096527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96810F-6503-48A1-90A4-9D0495BD4A95}"/>
</file>

<file path=customXml/itemProps2.xml><?xml version="1.0" encoding="utf-8"?>
<ds:datastoreItem xmlns:ds="http://schemas.openxmlformats.org/officeDocument/2006/customXml" ds:itemID="{1FC02F3A-819B-4411-985A-D5BE3378EE02}"/>
</file>

<file path=customXml/itemProps3.xml><?xml version="1.0" encoding="utf-8"?>
<ds:datastoreItem xmlns:ds="http://schemas.openxmlformats.org/officeDocument/2006/customXml" ds:itemID="{248FD80E-54FD-4CF0-9463-9F6E5F1E353B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Cameron Tomisser</dc:creator>
  <cp:keywords/>
  <dc:description/>
  <cp:lastModifiedBy/>
  <cp:revision/>
  <dcterms:created xsi:type="dcterms:W3CDTF">2025-08-25T17:54:14Z</dcterms:created>
  <dcterms:modified xsi:type="dcterms:W3CDTF">2026-09-02T19:36:48Z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0x010100D0EA3736BAED9C4FB935A16D61D92FAC</vt:lpwstr>
  </property>
  <property fmtid="{D5CDD505-2E9C-101B-9397-08002B2CF9AE}" pid="3" name="MediaServiceImageTags">
    <vt:lpwstr/>
  </property>
</Properties>
</file>